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MF\DM5 VOYAGE\"/>
    </mc:Choice>
  </mc:AlternateContent>
  <xr:revisionPtr revIDLastSave="0" documentId="13_ncr:1_{A4C0CA7F-146D-46D4-8C86-1861CAFF5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yage Summary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L39" i="1"/>
  <c r="M39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5" i="1"/>
  <c r="H57" i="2"/>
  <c r="G57" i="2"/>
  <c r="F57" i="2"/>
  <c r="E57" i="2"/>
  <c r="D57" i="2"/>
  <c r="H56" i="2"/>
  <c r="G56" i="2"/>
  <c r="F56" i="2"/>
  <c r="E56" i="2"/>
  <c r="D56" i="2"/>
  <c r="H55" i="2"/>
  <c r="H58" i="2" s="1"/>
  <c r="G55" i="2"/>
  <c r="G58" i="2" s="1"/>
  <c r="F55" i="2"/>
  <c r="F58" i="2" s="1"/>
  <c r="E55" i="2"/>
  <c r="E58" i="2" s="1"/>
  <c r="D55" i="2"/>
  <c r="D58" i="2" s="1"/>
  <c r="H53" i="2"/>
  <c r="H52" i="2"/>
  <c r="H51" i="2"/>
  <c r="I39" i="1"/>
  <c r="J39" i="1" s="1"/>
  <c r="H39" i="1"/>
  <c r="G39" i="1"/>
  <c r="F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tc={8BA5C315-703A-40D0-BF74-7A9C3D20A16F}</author>
  </authors>
  <commentList>
    <comment ref="F19" authorId="0" shapeId="0" xr:uid="{8BA5C315-703A-40D0-BF74-7A9C3D20A16F}">
      <text>
        <r>
          <rPr>
            <sz val="11"/>
            <color theme="1"/>
            <rFont val="Aptos Narrow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Not accurate. Because not enough data from the system</t>
        </r>
      </text>
    </comment>
  </commentList>
</comments>
</file>

<file path=xl/sharedStrings.xml><?xml version="1.0" encoding="utf-8"?>
<sst xmlns="http://schemas.openxmlformats.org/spreadsheetml/2006/main" count="231" uniqueCount="112">
  <si>
    <t>DREDGE MASTER 5 — Port-to-Port Fuel Consumption</t>
  </si>
  <si>
    <t>May to July 1–8, 2026 — populated from Dm5 daily reports</t>
  </si>
  <si>
    <t>Date</t>
  </si>
  <si>
    <t>Location / Leg</t>
  </si>
  <si>
    <t>Activity</t>
  </si>
  <si>
    <t>ME Port 
(h)</t>
  </si>
  <si>
    <t>ME Stbd 
(h)</t>
  </si>
  <si>
    <t>ME Fuel
(L)</t>
  </si>
  <si>
    <t>Gen Fuel 
(L)</t>
  </si>
  <si>
    <t>Day Total 
(L)</t>
  </si>
  <si>
    <t>Raw GPS (start → end)</t>
  </si>
  <si>
    <t>Notes</t>
  </si>
  <si>
    <t>May 29,2026</t>
  </si>
  <si>
    <t>Perez</t>
  </si>
  <si>
    <t>Transit (V1)</t>
  </si>
  <si>
    <t>May 30,2026</t>
  </si>
  <si>
    <t>Botolan</t>
  </si>
  <si>
    <t>Transit (V1 and V2)</t>
  </si>
  <si>
    <t>May 31,2026</t>
  </si>
  <si>
    <t>Transit (V2 and V3)</t>
  </si>
  <si>
    <t>Jun 1,2026</t>
  </si>
  <si>
    <t>Transit (V3 and V4)</t>
  </si>
  <si>
    <t>Jun 2,2026</t>
  </si>
  <si>
    <t>Transit (V4 and V5)</t>
  </si>
  <si>
    <t>Jun 3,2026</t>
  </si>
  <si>
    <t>Transit (V5 and V6)</t>
  </si>
  <si>
    <t>Jun 4,2026</t>
  </si>
  <si>
    <t>Transit (V6)</t>
  </si>
  <si>
    <t>Jun 5,2026</t>
  </si>
  <si>
    <t>Transit (V7)</t>
  </si>
  <si>
    <t>Jun 6,2026</t>
  </si>
  <si>
    <t>Transit (V7 and V8)</t>
  </si>
  <si>
    <t>Jun 7,2026</t>
  </si>
  <si>
    <t>Transit (V8 and V9)</t>
  </si>
  <si>
    <t>Jun 8,2026</t>
  </si>
  <si>
    <t>Transit (V9 and V10)</t>
  </si>
  <si>
    <t>Jun 9,2026</t>
  </si>
  <si>
    <t>Transit (V10 and V11)</t>
  </si>
  <si>
    <t>Jun 10,2026</t>
  </si>
  <si>
    <t>Transit (V11 and V12)</t>
  </si>
  <si>
    <t>Jun 11,2026</t>
  </si>
  <si>
    <t>Transit (V12 and V13)</t>
  </si>
  <si>
    <t>Jun 12,2026</t>
  </si>
  <si>
    <t>Transit (V13 and V14)</t>
  </si>
  <si>
    <t>Jun 13,2026</t>
  </si>
  <si>
    <t>Transit (V14 and V15)</t>
  </si>
  <si>
    <t>Jun 14,2026</t>
  </si>
  <si>
    <t>Transit (V15 and V16)</t>
  </si>
  <si>
    <t>Jun 15,2026</t>
  </si>
  <si>
    <t xml:space="preserve">Perez </t>
  </si>
  <si>
    <t>Transit (V16 and V17)</t>
  </si>
  <si>
    <t>Jun 16,2026</t>
  </si>
  <si>
    <t>Transit (V17 and V18)</t>
  </si>
  <si>
    <t>Jun 17,2026</t>
  </si>
  <si>
    <t>Transit (V18 and V19)</t>
  </si>
  <si>
    <t>Jun 18,2026</t>
  </si>
  <si>
    <t>Transit (V19 and V20)</t>
  </si>
  <si>
    <t>Jun 19,2026</t>
  </si>
  <si>
    <t>Transit (V20 and V21)</t>
  </si>
  <si>
    <t>Jun 20,2026</t>
  </si>
  <si>
    <t>Transit (V21 and V22)</t>
  </si>
  <si>
    <t>Jun 21,2026</t>
  </si>
  <si>
    <t>Transit (V22)</t>
  </si>
  <si>
    <t>Jun 22,2026</t>
  </si>
  <si>
    <t>Transit (V23)</t>
  </si>
  <si>
    <t>Jun 23,2026</t>
  </si>
  <si>
    <t>Transit (V23 and V24)</t>
  </si>
  <si>
    <t>Jun 24,2026</t>
  </si>
  <si>
    <t>Transit (V24)</t>
  </si>
  <si>
    <t>Jun 25,2026</t>
  </si>
  <si>
    <t>Perez -&gt; Botolan</t>
  </si>
  <si>
    <t>Transit (V25)</t>
  </si>
  <si>
    <t>Jun 26,2026</t>
  </si>
  <si>
    <t>Transit (V26)</t>
  </si>
  <si>
    <t>Jun 27,2026</t>
  </si>
  <si>
    <t>Transit (V26 and V27)</t>
  </si>
  <si>
    <t>Jun 28,2026</t>
  </si>
  <si>
    <t>Transit (V27 and V28)</t>
  </si>
  <si>
    <t>Jun 29,2026</t>
  </si>
  <si>
    <t>Transit (V28)</t>
  </si>
  <si>
    <t>Jun 30,2026</t>
  </si>
  <si>
    <t>Transit (V29 and V30)</t>
  </si>
  <si>
    <t>Transit (V30)</t>
  </si>
  <si>
    <t>In port — idle</t>
  </si>
  <si>
    <t>In port — maneuvering</t>
  </si>
  <si>
    <t>Transit (V31 and V32)</t>
  </si>
  <si>
    <t>Transit (V32 and V33)</t>
  </si>
  <si>
    <t>Transit (V33 and V34)</t>
  </si>
  <si>
    <t>Transit (V34)</t>
  </si>
  <si>
    <t>Transit (V35)</t>
  </si>
  <si>
    <t>Transit (V35 and V36)</t>
  </si>
  <si>
    <t>Transit (V36)</t>
  </si>
  <si>
    <t>TOTAL — MAY</t>
  </si>
  <si>
    <t>TOTAL — JUNE</t>
  </si>
  <si>
    <t>TOTAL — JULY 1–8</t>
  </si>
  <si>
    <t>TOTAL — COMBINED</t>
  </si>
  <si>
    <t>VESSEL FUEL CONSUMPTION REPORT - 34 VOYAGES</t>
  </si>
  <si>
    <t>DREDGE MASTER 5 — Voyage count follows Daily log Transit V1–V34; ME fuel uses the exact voyage window; AE #2 is full value for one day and average for multi-day voyages</t>
  </si>
  <si>
    <t>From</t>
  </si>
  <si>
    <t>To</t>
  </si>
  <si>
    <t>Departure</t>
  </si>
  <si>
    <t>Arrival</t>
  </si>
  <si>
    <t>Transit (h)</t>
  </si>
  <si>
    <t>Main Engines (L)</t>
  </si>
  <si>
    <t>Total (L)</t>
  </si>
  <si>
    <t>Avg Burn (L/h)</t>
  </si>
  <si>
    <t>Distance (nm)</t>
  </si>
  <si>
    <t>Avg Speed (kn)</t>
  </si>
  <si>
    <t>Fuel/nm (L/nm)</t>
  </si>
  <si>
    <t>TOTAL / OVERALL</t>
  </si>
  <si>
    <t>Generators  (L)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</si>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</sst>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\ d\,\ yyyy\ hh:mm:ss"/>
  </numFmts>
  <fonts count="10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20"/>
      <color theme="0"/>
      <name val="Times New Roman"/>
      <family val="1"/>
    </font>
    <font>
      <sz val="11"/>
      <color theme="0"/>
      <name val="Times New Roman"/>
      <family val="1"/>
    </font>
    <font>
      <sz val="10"/>
      <color rgb="FF262626"/>
      <name val="Arial"/>
      <family val="2"/>
    </font>
    <font>
      <b/>
      <sz val="16"/>
      <color rgb="FFFFFFFF"/>
      <name val="Times New Roman"/>
      <family val="1"/>
    </font>
    <font>
      <i/>
      <sz val="11"/>
      <color rgb="FF404040"/>
      <name val="Times New Roman"/>
      <family val="1"/>
    </font>
    <font>
      <b/>
      <sz val="11"/>
      <color rgb="FFFFFFFF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EEB500"/>
      </patternFill>
    </fill>
    <fill>
      <patternFill patternType="solid">
        <fgColor theme="0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5" borderId="0" xfId="0" applyFont="1" applyFill="1"/>
    <xf numFmtId="0" fontId="5" fillId="5" borderId="0" xfId="0" applyFont="1" applyFill="1"/>
    <xf numFmtId="0" fontId="0" fillId="0" borderId="1" xfId="0" applyBorder="1"/>
    <xf numFmtId="0" fontId="0" fillId="7" borderId="1" xfId="0" applyFill="1" applyBorder="1"/>
    <xf numFmtId="0" fontId="6" fillId="7" borderId="1" xfId="0" applyFont="1" applyFill="1" applyBorder="1" applyAlignment="1">
      <alignment horizontal="left" vertical="center"/>
    </xf>
    <xf numFmtId="4" fontId="0" fillId="7" borderId="1" xfId="0" applyNumberFormat="1" applyFill="1" applyBorder="1" applyAlignment="1">
      <alignment vertical="center" wrapText="1"/>
    </xf>
    <xf numFmtId="164" fontId="0" fillId="7" borderId="1" xfId="0" applyNumberForma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4" fontId="0" fillId="0" borderId="1" xfId="0" applyNumberFormat="1" applyBorder="1" applyAlignment="1">
      <alignment vertical="center" wrapText="1"/>
    </xf>
    <xf numFmtId="164" fontId="0" fillId="8" borderId="1" xfId="0" applyNumberFormat="1" applyFill="1" applyBorder="1" applyAlignment="1">
      <alignment horizontal="left" vertical="center" wrapText="1"/>
    </xf>
    <xf numFmtId="0" fontId="0" fillId="8" borderId="1" xfId="0" applyFill="1" applyBorder="1"/>
    <xf numFmtId="0" fontId="6" fillId="8" borderId="1" xfId="0" applyFont="1" applyFill="1" applyBorder="1" applyAlignment="1">
      <alignment horizontal="left" vertical="center"/>
    </xf>
    <xf numFmtId="4" fontId="0" fillId="8" borderId="1" xfId="0" applyNumberFormat="1" applyFill="1" applyBorder="1" applyAlignment="1">
      <alignment vertical="center" wrapText="1"/>
    </xf>
    <xf numFmtId="4" fontId="0" fillId="7" borderId="1" xfId="0" applyNumberFormat="1" applyFill="1" applyBorder="1"/>
    <xf numFmtId="4" fontId="0" fillId="0" borderId="1" xfId="0" applyNumberFormat="1" applyBorder="1"/>
    <xf numFmtId="0" fontId="9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165" fontId="0" fillId="10" borderId="1" xfId="0" applyNumberFormat="1" applyFill="1" applyBorder="1" applyAlignment="1">
      <alignment vertical="center" wrapText="1"/>
    </xf>
    <xf numFmtId="4" fontId="0" fillId="10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165" fontId="0" fillId="11" borderId="1" xfId="0" applyNumberFormat="1" applyFill="1" applyBorder="1" applyAlignment="1">
      <alignment vertical="center" wrapText="1"/>
    </xf>
    <xf numFmtId="4" fontId="0" fillId="11" borderId="1" xfId="0" applyNumberFormat="1" applyFill="1" applyBorder="1" applyAlignment="1">
      <alignment vertical="center" wrapText="1"/>
    </xf>
    <xf numFmtId="0" fontId="1" fillId="12" borderId="1" xfId="0" applyFont="1" applyFill="1" applyBorder="1"/>
    <xf numFmtId="4" fontId="1" fillId="12" borderId="1" xfId="0" applyNumberFormat="1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/>
    <xf numFmtId="165" fontId="1" fillId="12" borderId="1" xfId="0" applyNumberFormat="1" applyFont="1" applyFill="1" applyBorder="1" applyAlignment="1">
      <alignment vertical="center" wrapText="1"/>
    </xf>
    <xf numFmtId="0" fontId="7" fillId="9" borderId="0" xfId="0" applyFont="1" applyFill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/>
                <a:cs typeface="Calibri"/>
              </a:rPr>
              <a:t>Fuel per voyage (L)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'Voyage Summary'!$A$5:$A$38</c:f>
              <c:numCache>
                <c:formatCode>General</c:formatCode>
                <c:ptCount val="34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  <c:pt idx="10">
                  <c:v>6</c:v>
                </c:pt>
                <c:pt idx="12">
                  <c:v>7</c:v>
                </c:pt>
                <c:pt idx="14">
                  <c:v>8</c:v>
                </c:pt>
                <c:pt idx="16">
                  <c:v>9</c:v>
                </c:pt>
                <c:pt idx="18">
                  <c:v>10</c:v>
                </c:pt>
                <c:pt idx="20">
                  <c:v>11</c:v>
                </c:pt>
                <c:pt idx="22">
                  <c:v>12</c:v>
                </c:pt>
                <c:pt idx="24">
                  <c:v>13</c:v>
                </c:pt>
                <c:pt idx="26">
                  <c:v>14</c:v>
                </c:pt>
                <c:pt idx="28">
                  <c:v>15</c:v>
                </c:pt>
                <c:pt idx="30">
                  <c:v>16</c:v>
                </c:pt>
                <c:pt idx="3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C1-49BE-81F8-4E3AF5C530D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'Voyage Summary'!$I$5:$I$38</c:f>
              <c:numCache>
                <c:formatCode>#,##0.00</c:formatCode>
                <c:ptCount val="34"/>
                <c:pt idx="0">
                  <c:v>9001.3459294437926</c:v>
                </c:pt>
                <c:pt idx="1">
                  <c:v>10677.098830029794</c:v>
                </c:pt>
                <c:pt idx="2">
                  <c:v>8706.4000779296221</c:v>
                </c:pt>
                <c:pt idx="3">
                  <c:v>9448.8131894565104</c:v>
                </c:pt>
                <c:pt idx="4">
                  <c:v>8509.3145845668241</c:v>
                </c:pt>
                <c:pt idx="5">
                  <c:v>12825.229525400277</c:v>
                </c:pt>
                <c:pt idx="6">
                  <c:v>7820.2998419556079</c:v>
                </c:pt>
                <c:pt idx="7">
                  <c:v>9591.7685513684737</c:v>
                </c:pt>
                <c:pt idx="8">
                  <c:v>8585.4369344953902</c:v>
                </c:pt>
                <c:pt idx="9">
                  <c:v>9607.2044973129687</c:v>
                </c:pt>
                <c:pt idx="10">
                  <c:v>8940.5744799355216</c:v>
                </c:pt>
                <c:pt idx="11">
                  <c:v>9983.2330001374248</c:v>
                </c:pt>
                <c:pt idx="12">
                  <c:v>7602.2581285967017</c:v>
                </c:pt>
                <c:pt idx="13">
                  <c:v>10462.308685998443</c:v>
                </c:pt>
                <c:pt idx="14">
                  <c:v>6525.9006991339429</c:v>
                </c:pt>
                <c:pt idx="15">
                  <c:v>9177.0860897736566</c:v>
                </c:pt>
                <c:pt idx="16">
                  <c:v>8781.5337872616456</c:v>
                </c:pt>
                <c:pt idx="17">
                  <c:v>10416.505145617317</c:v>
                </c:pt>
                <c:pt idx="18">
                  <c:v>7360.3864886903093</c:v>
                </c:pt>
                <c:pt idx="19">
                  <c:v>8888.0104023942604</c:v>
                </c:pt>
                <c:pt idx="20">
                  <c:v>8427.5628668619065</c:v>
                </c:pt>
                <c:pt idx="21">
                  <c:v>10246.693940305488</c:v>
                </c:pt>
                <c:pt idx="22">
                  <c:v>8187.9057557920951</c:v>
                </c:pt>
                <c:pt idx="23">
                  <c:v>9815.6177788256427</c:v>
                </c:pt>
                <c:pt idx="24">
                  <c:v>8737.2721905065737</c:v>
                </c:pt>
                <c:pt idx="25">
                  <c:v>9920.6675254526454</c:v>
                </c:pt>
                <c:pt idx="26">
                  <c:v>9050.2943421396558</c:v>
                </c:pt>
                <c:pt idx="27">
                  <c:v>10992.705754347164</c:v>
                </c:pt>
                <c:pt idx="28">
                  <c:v>7847.6188202928834</c:v>
                </c:pt>
                <c:pt idx="29">
                  <c:v>9279.791036366285</c:v>
                </c:pt>
                <c:pt idx="30">
                  <c:v>9006.7182448470703</c:v>
                </c:pt>
                <c:pt idx="31">
                  <c:v>10036.341774837631</c:v>
                </c:pt>
                <c:pt idx="32">
                  <c:v>8029.8802933954375</c:v>
                </c:pt>
                <c:pt idx="33">
                  <c:v>9192.5257923027293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7C1-49BE-81F8-4E3AF5C53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1430303"/>
        <c:axId val="1961606511"/>
      </c:barChart>
      <c:catAx>
        <c:axId val="5414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06511"/>
        <c:crosses val="autoZero"/>
        <c:auto val="1"/>
        <c:lblAlgn val="ctr"/>
        <c:lblOffset val="100"/>
        <c:noMultiLvlLbl val="0"/>
      </c:catAx>
      <c:valAx>
        <c:axId val="19616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800" b="1" i="0" u="none" cap="all">
                <a:solidFill>
                  <a:srgbClr val="000000"/>
                </a:solidFill>
                <a:latin typeface="Arial Narrow"/>
                <a:ea typeface="Arial Narrow"/>
                <a:cs typeface="Arial Narrow"/>
              </a:rPr>
              <a:t>Daily Fuel — Main Engines vs Generator</a:t>
            </a:r>
          </a:p>
        </c:rich>
      </c:tx>
      <c:overlay val="0"/>
    </c:title>
    <c:autoTitleDeleted val="0"/>
    <c:view3D>
      <c:rotX val="10"/>
      <c:rotY val="6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pattFill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</c:spPr>
          <c:invertIfNegative val="1"/>
          <c:cat>
            <c:strRef>
              <c:f>'Daily log'!$A$5:$A$53</c:f>
              <c:strCache>
                <c:ptCount val="49"/>
                <c:pt idx="0">
                  <c:v>May 29,2026</c:v>
                </c:pt>
                <c:pt idx="1">
                  <c:v>May 30,2026</c:v>
                </c:pt>
                <c:pt idx="2">
                  <c:v>May 31,2026</c:v>
                </c:pt>
                <c:pt idx="3">
                  <c:v>Jun 1,2026</c:v>
                </c:pt>
                <c:pt idx="4">
                  <c:v>Jun 2,2026</c:v>
                </c:pt>
                <c:pt idx="5">
                  <c:v>Jun 3,2026</c:v>
                </c:pt>
                <c:pt idx="6">
                  <c:v>Jun 4,2026</c:v>
                </c:pt>
                <c:pt idx="7">
                  <c:v>Jun 5,2026</c:v>
                </c:pt>
                <c:pt idx="8">
                  <c:v>Jun 6,2026</c:v>
                </c:pt>
                <c:pt idx="9">
                  <c:v>Jun 7,2026</c:v>
                </c:pt>
                <c:pt idx="10">
                  <c:v>Jun 8,2026</c:v>
                </c:pt>
                <c:pt idx="11">
                  <c:v>Jun 9,2026</c:v>
                </c:pt>
                <c:pt idx="12">
                  <c:v>Jun 10,2026</c:v>
                </c:pt>
                <c:pt idx="13">
                  <c:v>Jun 11,2026</c:v>
                </c:pt>
                <c:pt idx="14">
                  <c:v>Jun 12,2026</c:v>
                </c:pt>
                <c:pt idx="15">
                  <c:v>Jun 13,2026</c:v>
                </c:pt>
                <c:pt idx="16">
                  <c:v>Jun 14,2026</c:v>
                </c:pt>
                <c:pt idx="17">
                  <c:v>Jun 15,2026</c:v>
                </c:pt>
                <c:pt idx="18">
                  <c:v>Jun 16,2026</c:v>
                </c:pt>
                <c:pt idx="19">
                  <c:v>Jun 17,2026</c:v>
                </c:pt>
                <c:pt idx="20">
                  <c:v>Jun 18,2026</c:v>
                </c:pt>
                <c:pt idx="21">
                  <c:v>Jun 19,2026</c:v>
                </c:pt>
                <c:pt idx="22">
                  <c:v>Jun 20,2026</c:v>
                </c:pt>
                <c:pt idx="23">
                  <c:v>Jun 21,2026</c:v>
                </c:pt>
                <c:pt idx="24">
                  <c:v>Jun 22,2026</c:v>
                </c:pt>
                <c:pt idx="25">
                  <c:v>Jun 23,2026</c:v>
                </c:pt>
                <c:pt idx="26">
                  <c:v>Jun 24,2026</c:v>
                </c:pt>
                <c:pt idx="27">
                  <c:v>Jun 25,2026</c:v>
                </c:pt>
                <c:pt idx="28">
                  <c:v>Jun 26,2026</c:v>
                </c:pt>
                <c:pt idx="29">
                  <c:v>Jun 27,2026</c:v>
                </c:pt>
                <c:pt idx="30">
                  <c:v>Jun 28,2026</c:v>
                </c:pt>
                <c:pt idx="31">
                  <c:v>Jun 29,2026</c:v>
                </c:pt>
                <c:pt idx="32">
                  <c:v>Jun 30,2026</c:v>
                </c:pt>
                <c:pt idx="33">
                  <c:v>Jul 1, 2026</c:v>
                </c:pt>
                <c:pt idx="34">
                  <c:v>Jul 2, 2026</c:v>
                </c:pt>
                <c:pt idx="35">
                  <c:v>Jul 3, 2026</c:v>
                </c:pt>
                <c:pt idx="36">
                  <c:v>Jul 4, 2026</c:v>
                </c:pt>
                <c:pt idx="37">
                  <c:v>Jul 5, 2026</c:v>
                </c:pt>
                <c:pt idx="38">
                  <c:v>Jul 6, 2026</c:v>
                </c:pt>
                <c:pt idx="39">
                  <c:v>Jul 7, 2026</c:v>
                </c:pt>
                <c:pt idx="40">
                  <c:v>Jul 8, 2026</c:v>
                </c:pt>
                <c:pt idx="41">
                  <c:v>Jul 9, 2026</c:v>
                </c:pt>
                <c:pt idx="42">
                  <c:v>Jul 10, 2026</c:v>
                </c:pt>
                <c:pt idx="43">
                  <c:v>Jul 11, 2026</c:v>
                </c:pt>
                <c:pt idx="44">
                  <c:v>Jul 12, 2026</c:v>
                </c:pt>
                <c:pt idx="45">
                  <c:v>Jul 13, 2026</c:v>
                </c:pt>
                <c:pt idx="46">
                  <c:v>Jul 14, 2026</c:v>
                </c:pt>
                <c:pt idx="47">
                  <c:v>Jul 15, 2026</c:v>
                </c:pt>
                <c:pt idx="48">
                  <c:v>Jul 16, 2026</c:v>
                </c:pt>
              </c:strCache>
            </c:strRef>
          </c:cat>
          <c:val>
            <c:numRef>
              <c:f>'Daily log'!$F$5:$F$53</c:f>
              <c:numCache>
                <c:formatCode>#,##0.00</c:formatCode>
                <c:ptCount val="49"/>
                <c:pt idx="0">
                  <c:v>2192.1400000000003</c:v>
                </c:pt>
                <c:pt idx="1">
                  <c:v>9764.42</c:v>
                </c:pt>
                <c:pt idx="2">
                  <c:v>10470.060000000001</c:v>
                </c:pt>
                <c:pt idx="3">
                  <c:v>8835.08</c:v>
                </c:pt>
                <c:pt idx="4">
                  <c:v>8113.38</c:v>
                </c:pt>
                <c:pt idx="5">
                  <c:v>10372.130000000001</c:v>
                </c:pt>
                <c:pt idx="6">
                  <c:v>5404.34</c:v>
                </c:pt>
                <c:pt idx="7">
                  <c:v>3638.8900000000003</c:v>
                </c:pt>
                <c:pt idx="8">
                  <c:v>8791.0400000000009</c:v>
                </c:pt>
                <c:pt idx="9">
                  <c:v>11241.380000000001</c:v>
                </c:pt>
                <c:pt idx="10">
                  <c:v>6459.17</c:v>
                </c:pt>
                <c:pt idx="11">
                  <c:v>8190.55</c:v>
                </c:pt>
                <c:pt idx="12">
                  <c:v>9354.73</c:v>
                </c:pt>
                <c:pt idx="13">
                  <c:v>9235.41</c:v>
                </c:pt>
                <c:pt idx="14">
                  <c:v>5324.77</c:v>
                </c:pt>
                <c:pt idx="15">
                  <c:v>9587.17</c:v>
                </c:pt>
                <c:pt idx="16">
                  <c:v>5890</c:v>
                </c:pt>
                <c:pt idx="17">
                  <c:v>10675.130000000001</c:v>
                </c:pt>
                <c:pt idx="18">
                  <c:v>5814.21</c:v>
                </c:pt>
                <c:pt idx="19">
                  <c:v>10398.39</c:v>
                </c:pt>
                <c:pt idx="20">
                  <c:v>4817.32</c:v>
                </c:pt>
                <c:pt idx="21">
                  <c:v>9032.16</c:v>
                </c:pt>
                <c:pt idx="22">
                  <c:v>8804.7799999999988</c:v>
                </c:pt>
                <c:pt idx="23">
                  <c:v>3841.2</c:v>
                </c:pt>
                <c:pt idx="24">
                  <c:v>3088.34</c:v>
                </c:pt>
                <c:pt idx="25">
                  <c:v>7685.75</c:v>
                </c:pt>
                <c:pt idx="26">
                  <c:v>6796.93</c:v>
                </c:pt>
                <c:pt idx="27">
                  <c:v>8417.84</c:v>
                </c:pt>
                <c:pt idx="28">
                  <c:v>7815.3600000000006</c:v>
                </c:pt>
                <c:pt idx="29">
                  <c:v>3969.95</c:v>
                </c:pt>
                <c:pt idx="30">
                  <c:v>10370.24</c:v>
                </c:pt>
                <c:pt idx="31">
                  <c:v>5906.5599999999995</c:v>
                </c:pt>
                <c:pt idx="32">
                  <c:v>10529.55</c:v>
                </c:pt>
                <c:pt idx="33">
                  <c:v>6430.58</c:v>
                </c:pt>
                <c:pt idx="34">
                  <c:v>0</c:v>
                </c:pt>
                <c:pt idx="35">
                  <c:v>774.56999999999994</c:v>
                </c:pt>
                <c:pt idx="36">
                  <c:v>11294</c:v>
                </c:pt>
                <c:pt idx="37">
                  <c:v>10420.879999999999</c:v>
                </c:pt>
                <c:pt idx="38">
                  <c:v>10504.57</c:v>
                </c:pt>
                <c:pt idx="39">
                  <c:v>2879.59</c:v>
                </c:pt>
                <c:pt idx="40">
                  <c:v>412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 formatCode="General">
                  <c:v>4558.53</c:v>
                </c:pt>
                <c:pt idx="47" formatCode="General">
                  <c:v>8234.49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8-4EFF-8A54-1B8CCE90B10A}"/>
            </c:ext>
          </c:extLst>
        </c:ser>
        <c:ser>
          <c:idx val="1"/>
          <c:order val="1"/>
          <c:spPr>
            <a:pattFill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</c:spPr>
          <c:invertIfNegative val="1"/>
          <c:cat>
            <c:strRef>
              <c:f>'Daily log'!$A$5:$A$53</c:f>
              <c:strCache>
                <c:ptCount val="49"/>
                <c:pt idx="0">
                  <c:v>May 29,2026</c:v>
                </c:pt>
                <c:pt idx="1">
                  <c:v>May 30,2026</c:v>
                </c:pt>
                <c:pt idx="2">
                  <c:v>May 31,2026</c:v>
                </c:pt>
                <c:pt idx="3">
                  <c:v>Jun 1,2026</c:v>
                </c:pt>
                <c:pt idx="4">
                  <c:v>Jun 2,2026</c:v>
                </c:pt>
                <c:pt idx="5">
                  <c:v>Jun 3,2026</c:v>
                </c:pt>
                <c:pt idx="6">
                  <c:v>Jun 4,2026</c:v>
                </c:pt>
                <c:pt idx="7">
                  <c:v>Jun 5,2026</c:v>
                </c:pt>
                <c:pt idx="8">
                  <c:v>Jun 6,2026</c:v>
                </c:pt>
                <c:pt idx="9">
                  <c:v>Jun 7,2026</c:v>
                </c:pt>
                <c:pt idx="10">
                  <c:v>Jun 8,2026</c:v>
                </c:pt>
                <c:pt idx="11">
                  <c:v>Jun 9,2026</c:v>
                </c:pt>
                <c:pt idx="12">
                  <c:v>Jun 10,2026</c:v>
                </c:pt>
                <c:pt idx="13">
                  <c:v>Jun 11,2026</c:v>
                </c:pt>
                <c:pt idx="14">
                  <c:v>Jun 12,2026</c:v>
                </c:pt>
                <c:pt idx="15">
                  <c:v>Jun 13,2026</c:v>
                </c:pt>
                <c:pt idx="16">
                  <c:v>Jun 14,2026</c:v>
                </c:pt>
                <c:pt idx="17">
                  <c:v>Jun 15,2026</c:v>
                </c:pt>
                <c:pt idx="18">
                  <c:v>Jun 16,2026</c:v>
                </c:pt>
                <c:pt idx="19">
                  <c:v>Jun 17,2026</c:v>
                </c:pt>
                <c:pt idx="20">
                  <c:v>Jun 18,2026</c:v>
                </c:pt>
                <c:pt idx="21">
                  <c:v>Jun 19,2026</c:v>
                </c:pt>
                <c:pt idx="22">
                  <c:v>Jun 20,2026</c:v>
                </c:pt>
                <c:pt idx="23">
                  <c:v>Jun 21,2026</c:v>
                </c:pt>
                <c:pt idx="24">
                  <c:v>Jun 22,2026</c:v>
                </c:pt>
                <c:pt idx="25">
                  <c:v>Jun 23,2026</c:v>
                </c:pt>
                <c:pt idx="26">
                  <c:v>Jun 24,2026</c:v>
                </c:pt>
                <c:pt idx="27">
                  <c:v>Jun 25,2026</c:v>
                </c:pt>
                <c:pt idx="28">
                  <c:v>Jun 26,2026</c:v>
                </c:pt>
                <c:pt idx="29">
                  <c:v>Jun 27,2026</c:v>
                </c:pt>
                <c:pt idx="30">
                  <c:v>Jun 28,2026</c:v>
                </c:pt>
                <c:pt idx="31">
                  <c:v>Jun 29,2026</c:v>
                </c:pt>
                <c:pt idx="32">
                  <c:v>Jun 30,2026</c:v>
                </c:pt>
                <c:pt idx="33">
                  <c:v>Jul 1, 2026</c:v>
                </c:pt>
                <c:pt idx="34">
                  <c:v>Jul 2, 2026</c:v>
                </c:pt>
                <c:pt idx="35">
                  <c:v>Jul 3, 2026</c:v>
                </c:pt>
                <c:pt idx="36">
                  <c:v>Jul 4, 2026</c:v>
                </c:pt>
                <c:pt idx="37">
                  <c:v>Jul 5, 2026</c:v>
                </c:pt>
                <c:pt idx="38">
                  <c:v>Jul 6, 2026</c:v>
                </c:pt>
                <c:pt idx="39">
                  <c:v>Jul 7, 2026</c:v>
                </c:pt>
                <c:pt idx="40">
                  <c:v>Jul 8, 2026</c:v>
                </c:pt>
                <c:pt idx="41">
                  <c:v>Jul 9, 2026</c:v>
                </c:pt>
                <c:pt idx="42">
                  <c:v>Jul 10, 2026</c:v>
                </c:pt>
                <c:pt idx="43">
                  <c:v>Jul 11, 2026</c:v>
                </c:pt>
                <c:pt idx="44">
                  <c:v>Jul 12, 2026</c:v>
                </c:pt>
                <c:pt idx="45">
                  <c:v>Jul 13, 2026</c:v>
                </c:pt>
                <c:pt idx="46">
                  <c:v>Jul 14, 2026</c:v>
                </c:pt>
                <c:pt idx="47">
                  <c:v>Jul 15, 2026</c:v>
                </c:pt>
                <c:pt idx="48">
                  <c:v>Jul 16, 2026</c:v>
                </c:pt>
              </c:strCache>
            </c:strRef>
          </c:cat>
          <c:val>
            <c:numRef>
              <c:f>'Daily log'!$G$5:$G$53</c:f>
              <c:numCache>
                <c:formatCode>#,##0.00</c:formatCode>
                <c:ptCount val="49"/>
                <c:pt idx="0">
                  <c:v>1223.8</c:v>
                </c:pt>
                <c:pt idx="1">
                  <c:v>3544.73</c:v>
                </c:pt>
                <c:pt idx="2">
                  <c:v>2027.77</c:v>
                </c:pt>
                <c:pt idx="3">
                  <c:v>2286.1899999999996</c:v>
                </c:pt>
                <c:pt idx="4">
                  <c:v>711.09</c:v>
                </c:pt>
                <c:pt idx="5">
                  <c:v>3108.66</c:v>
                </c:pt>
                <c:pt idx="6">
                  <c:v>2477.1600000000003</c:v>
                </c:pt>
                <c:pt idx="7">
                  <c:v>948.2</c:v>
                </c:pt>
                <c:pt idx="8">
                  <c:v>2272.4100000000003</c:v>
                </c:pt>
                <c:pt idx="9">
                  <c:v>1119.79</c:v>
                </c:pt>
                <c:pt idx="10">
                  <c:v>3453.16</c:v>
                </c:pt>
                <c:pt idx="11">
                  <c:v>2006.17</c:v>
                </c:pt>
                <c:pt idx="12">
                  <c:v>1741.1699999999998</c:v>
                </c:pt>
                <c:pt idx="13">
                  <c:v>2018.78</c:v>
                </c:pt>
                <c:pt idx="14">
                  <c:v>4198.24</c:v>
                </c:pt>
                <c:pt idx="15">
                  <c:v>1853.0000000000002</c:v>
                </c:pt>
                <c:pt idx="16">
                  <c:v>2251.62</c:v>
                </c:pt>
                <c:pt idx="17">
                  <c:v>1171.8899999999999</c:v>
                </c:pt>
                <c:pt idx="18">
                  <c:v>4115.8900000000003</c:v>
                </c:pt>
                <c:pt idx="19">
                  <c:v>1834.55</c:v>
                </c:pt>
                <c:pt idx="20">
                  <c:v>2316.2199999999998</c:v>
                </c:pt>
                <c:pt idx="21">
                  <c:v>1080.18</c:v>
                </c:pt>
                <c:pt idx="22">
                  <c:v>3785.7599999999998</c:v>
                </c:pt>
                <c:pt idx="23">
                  <c:v>1157.98</c:v>
                </c:pt>
                <c:pt idx="24">
                  <c:v>1155.05</c:v>
                </c:pt>
                <c:pt idx="25">
                  <c:v>3085.45</c:v>
                </c:pt>
                <c:pt idx="26">
                  <c:v>2452.5099999999998</c:v>
                </c:pt>
                <c:pt idx="27">
                  <c:v>1921.36</c:v>
                </c:pt>
                <c:pt idx="28">
                  <c:v>1155.8900000000001</c:v>
                </c:pt>
                <c:pt idx="29">
                  <c:v>2664.06</c:v>
                </c:pt>
                <c:pt idx="30">
                  <c:v>2823.48</c:v>
                </c:pt>
                <c:pt idx="31">
                  <c:v>3378.21</c:v>
                </c:pt>
                <c:pt idx="32">
                  <c:v>1590.04</c:v>
                </c:pt>
                <c:pt idx="33">
                  <c:v>4.97</c:v>
                </c:pt>
                <c:pt idx="34">
                  <c:v>1345.56</c:v>
                </c:pt>
                <c:pt idx="35">
                  <c:v>3695.78</c:v>
                </c:pt>
                <c:pt idx="36">
                  <c:v>1127.8799999999999</c:v>
                </c:pt>
                <c:pt idx="37">
                  <c:v>1764.67</c:v>
                </c:pt>
                <c:pt idx="38">
                  <c:v>1138.1500000000001</c:v>
                </c:pt>
                <c:pt idx="39">
                  <c:v>1149.3699999999999</c:v>
                </c:pt>
                <c:pt idx="40">
                  <c:v>910.21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 formatCode="General">
                  <c:v>869.04</c:v>
                </c:pt>
                <c:pt idx="47" formatCode="General">
                  <c:v>3330.81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8-4EFF-8A54-1B8CCE90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9050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40</xdr:row>
      <xdr:rowOff>27214</xdr:rowOff>
    </xdr:from>
    <xdr:to>
      <xdr:col>12</xdr:col>
      <xdr:colOff>789214</xdr:colOff>
      <xdr:row>60</xdr:row>
      <xdr:rowOff>176892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D857C-56B4-4C74-CA4C-72CE3F195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190337</xdr:rowOff>
    </xdr:from>
    <xdr:to>
      <xdr:col>15</xdr:col>
      <xdr:colOff>598714</xdr:colOff>
      <xdr:row>90</xdr:row>
      <xdr:rowOff>176892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rian" id="{62107CE2-095D-42C3-BECD-8B22343A82DB}" userId="Adrian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6-07-17T05:19:46.12" personId="{62107CE2-095D-42C3-BECD-8B22343A82DB}" id="{8BA5C315-703A-40D0-BF74-7A9C3D20A16F}">
    <text>Not accurate. Because not enough data from the system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45"/>
  <sheetViews>
    <sheetView tabSelected="1" zoomScale="70" zoomScaleNormal="70" workbookViewId="0">
      <selection activeCell="S11" sqref="S11"/>
    </sheetView>
  </sheetViews>
  <sheetFormatPr defaultRowHeight="15" x14ac:dyDescent="0.25"/>
  <cols>
    <col min="1" max="1" width="10" customWidth="1"/>
    <col min="2" max="3" width="20" customWidth="1"/>
    <col min="4" max="4" width="23.42578125" customWidth="1"/>
    <col min="5" max="5" width="24.28515625" customWidth="1"/>
    <col min="6" max="6" width="10.28515625" customWidth="1"/>
    <col min="7" max="7" width="14.42578125" customWidth="1"/>
    <col min="8" max="8" width="14.7109375" customWidth="1"/>
    <col min="9" max="9" width="14.42578125" customWidth="1"/>
    <col min="10" max="10" width="11.140625" customWidth="1"/>
    <col min="11" max="11" width="10" customWidth="1"/>
    <col min="12" max="12" width="11.28515625" customWidth="1"/>
    <col min="13" max="13" width="12" customWidth="1"/>
  </cols>
  <sheetData>
    <row r="1" spans="1:14" ht="20.45" customHeight="1" x14ac:dyDescent="0.25">
      <c r="A1" s="35" t="s">
        <v>96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9"/>
    </row>
    <row r="2" spans="1:14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8"/>
    </row>
    <row r="3" spans="1:14" x14ac:dyDescent="0.25">
      <c r="A3" s="38" t="s">
        <v>97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4" s="6" customFormat="1" ht="51" customHeight="1" x14ac:dyDescent="0.25">
      <c r="A4" s="23" t="s">
        <v>111</v>
      </c>
      <c r="B4" s="23" t="s">
        <v>98</v>
      </c>
      <c r="C4" s="23" t="s">
        <v>99</v>
      </c>
      <c r="D4" s="23" t="s">
        <v>100</v>
      </c>
      <c r="E4" s="23" t="s">
        <v>101</v>
      </c>
      <c r="F4" s="23" t="s">
        <v>102</v>
      </c>
      <c r="G4" s="23" t="s">
        <v>103</v>
      </c>
      <c r="H4" s="23" t="s">
        <v>110</v>
      </c>
      <c r="I4" s="23" t="s">
        <v>104</v>
      </c>
      <c r="J4" s="23" t="s">
        <v>105</v>
      </c>
      <c r="K4" s="23" t="s">
        <v>106</v>
      </c>
      <c r="L4" s="23" t="s">
        <v>107</v>
      </c>
      <c r="M4" s="23" t="s">
        <v>108</v>
      </c>
      <c r="N4" s="7"/>
    </row>
    <row r="5" spans="1:14" x14ac:dyDescent="0.25">
      <c r="A5" s="36">
        <v>1</v>
      </c>
      <c r="B5" s="24" t="s">
        <v>13</v>
      </c>
      <c r="C5" s="24" t="s">
        <v>16</v>
      </c>
      <c r="D5" s="25">
        <v>46171.886608796296</v>
      </c>
      <c r="E5" s="25">
        <v>46172.417696759258</v>
      </c>
      <c r="F5" s="26">
        <v>12.746111111111111</v>
      </c>
      <c r="G5" s="26">
        <v>7867.4859294437929</v>
      </c>
      <c r="H5" s="26">
        <v>1133.8600000000001</v>
      </c>
      <c r="I5" s="26">
        <v>9001.3459294437926</v>
      </c>
      <c r="J5" s="26">
        <f t="shared" ref="J5:J38" si="0">IFERROR(I5/F5,0)</f>
        <v>706.2033157389543</v>
      </c>
      <c r="K5" s="24">
        <v>102</v>
      </c>
      <c r="L5" s="24">
        <v>8</v>
      </c>
      <c r="M5" s="24">
        <f>I5/K5</f>
        <v>88.248489504350914</v>
      </c>
    </row>
    <row r="6" spans="1:14" x14ac:dyDescent="0.25">
      <c r="A6" s="37"/>
      <c r="B6" s="27" t="s">
        <v>16</v>
      </c>
      <c r="C6" s="27" t="s">
        <v>13</v>
      </c>
      <c r="D6" s="28">
        <v>46172.758923611109</v>
      </c>
      <c r="E6" s="28">
        <v>46173.433275462965</v>
      </c>
      <c r="F6" s="29">
        <v>16.184444444444445</v>
      </c>
      <c r="G6" s="29">
        <v>9209.3888300297949</v>
      </c>
      <c r="H6" s="29">
        <v>1467.71</v>
      </c>
      <c r="I6" s="29">
        <v>10677.098830029794</v>
      </c>
      <c r="J6" s="29">
        <f t="shared" si="0"/>
        <v>659.71364458511698</v>
      </c>
      <c r="K6" s="27">
        <v>104</v>
      </c>
      <c r="L6" s="27">
        <v>7</v>
      </c>
      <c r="M6" s="24">
        <f t="shared" ref="M6:M38" si="1">I6/K6</f>
        <v>102.66441182720956</v>
      </c>
    </row>
    <row r="7" spans="1:14" x14ac:dyDescent="0.25">
      <c r="A7" s="36">
        <v>2</v>
      </c>
      <c r="B7" s="24" t="s">
        <v>13</v>
      </c>
      <c r="C7" s="24" t="s">
        <v>16</v>
      </c>
      <c r="D7" s="25">
        <v>46173.673807870371</v>
      </c>
      <c r="E7" s="25">
        <v>46174.220775462964</v>
      </c>
      <c r="F7" s="26">
        <v>13.593888888888889</v>
      </c>
      <c r="G7" s="26">
        <v>8102.3100779296228</v>
      </c>
      <c r="H7" s="26">
        <v>604.09</v>
      </c>
      <c r="I7" s="26">
        <v>8706.4000779296221</v>
      </c>
      <c r="J7" s="26">
        <f t="shared" si="0"/>
        <v>640.46426663424415</v>
      </c>
      <c r="K7" s="24">
        <v>104</v>
      </c>
      <c r="L7" s="24">
        <v>7</v>
      </c>
      <c r="M7" s="24">
        <f t="shared" si="1"/>
        <v>83.715385364707899</v>
      </c>
    </row>
    <row r="8" spans="1:14" x14ac:dyDescent="0.25">
      <c r="A8" s="37"/>
      <c r="B8" s="27" t="s">
        <v>16</v>
      </c>
      <c r="C8" s="27" t="s">
        <v>13</v>
      </c>
      <c r="D8" s="28">
        <v>46174.624664351853</v>
      </c>
      <c r="E8" s="28">
        <v>46175.262418981481</v>
      </c>
      <c r="F8" s="29">
        <v>15.306111111111111</v>
      </c>
      <c r="G8" s="29">
        <v>9448.8131894565104</v>
      </c>
      <c r="H8" s="29">
        <v>0</v>
      </c>
      <c r="I8" s="29">
        <v>9448.8131894565104</v>
      </c>
      <c r="J8" s="29">
        <f t="shared" si="0"/>
        <v>617.32291898739493</v>
      </c>
      <c r="K8" s="27">
        <v>100</v>
      </c>
      <c r="L8" s="27">
        <v>6</v>
      </c>
      <c r="M8" s="24">
        <f t="shared" si="1"/>
        <v>94.4881318945651</v>
      </c>
    </row>
    <row r="9" spans="1:14" x14ac:dyDescent="0.25">
      <c r="A9" s="36">
        <v>3</v>
      </c>
      <c r="B9" s="24" t="s">
        <v>13</v>
      </c>
      <c r="C9" s="24" t="s">
        <v>16</v>
      </c>
      <c r="D9" s="25">
        <v>46175.731215277781</v>
      </c>
      <c r="E9" s="25">
        <v>46176.274560185186</v>
      </c>
      <c r="F9" s="26">
        <v>13.040277777777778</v>
      </c>
      <c r="G9" s="26">
        <v>7807.6845845668249</v>
      </c>
      <c r="H9" s="26">
        <v>701.63</v>
      </c>
      <c r="I9" s="26">
        <v>8509.3145845668241</v>
      </c>
      <c r="J9" s="26">
        <f t="shared" si="0"/>
        <v>652.54089901886391</v>
      </c>
      <c r="K9" s="24">
        <v>102</v>
      </c>
      <c r="L9" s="24">
        <v>8</v>
      </c>
      <c r="M9" s="24">
        <f t="shared" si="1"/>
        <v>83.424652789870819</v>
      </c>
    </row>
    <row r="10" spans="1:14" x14ac:dyDescent="0.25">
      <c r="A10" s="37"/>
      <c r="B10" s="27" t="s">
        <v>16</v>
      </c>
      <c r="C10" s="27" t="s">
        <v>13</v>
      </c>
      <c r="D10" s="28">
        <v>46176.574143518519</v>
      </c>
      <c r="E10" s="28">
        <v>46177.33457175926</v>
      </c>
      <c r="F10" s="29">
        <v>18.250277777777779</v>
      </c>
      <c r="G10" s="29">
        <v>11260.159525400277</v>
      </c>
      <c r="H10" s="29">
        <v>1565.0700000000002</v>
      </c>
      <c r="I10" s="29">
        <v>12825.229525400277</v>
      </c>
      <c r="J10" s="29">
        <f t="shared" si="0"/>
        <v>702.74160654238131</v>
      </c>
      <c r="K10" s="27">
        <v>106</v>
      </c>
      <c r="L10" s="27">
        <v>6</v>
      </c>
      <c r="M10" s="24">
        <f t="shared" si="1"/>
        <v>120.99273137170073</v>
      </c>
    </row>
    <row r="11" spans="1:14" x14ac:dyDescent="0.25">
      <c r="A11" s="36">
        <v>4</v>
      </c>
      <c r="B11" s="24" t="s">
        <v>13</v>
      </c>
      <c r="C11" s="24" t="s">
        <v>16</v>
      </c>
      <c r="D11" s="25">
        <v>46178.733217592591</v>
      </c>
      <c r="E11" s="25">
        <v>46179.250428240739</v>
      </c>
      <c r="F11" s="26">
        <v>12.413055555555555</v>
      </c>
      <c r="G11" s="26">
        <v>7346.1998419556076</v>
      </c>
      <c r="H11" s="26">
        <v>474.1</v>
      </c>
      <c r="I11" s="26">
        <v>7820.2998419556079</v>
      </c>
      <c r="J11" s="26">
        <f t="shared" si="0"/>
        <v>630.00602929353477</v>
      </c>
      <c r="K11" s="24">
        <v>100</v>
      </c>
      <c r="L11" s="24">
        <v>7</v>
      </c>
      <c r="M11" s="24">
        <f t="shared" si="1"/>
        <v>78.202998419556081</v>
      </c>
    </row>
    <row r="12" spans="1:14" x14ac:dyDescent="0.25">
      <c r="A12" s="37"/>
      <c r="B12" s="27" t="s">
        <v>16</v>
      </c>
      <c r="C12" s="27" t="s">
        <v>13</v>
      </c>
      <c r="D12" s="28">
        <v>46179.659016203703</v>
      </c>
      <c r="E12" s="28">
        <v>46180.306273148148</v>
      </c>
      <c r="F12" s="29">
        <v>15.534166666666666</v>
      </c>
      <c r="G12" s="29">
        <v>9591.7685513684737</v>
      </c>
      <c r="H12" s="29">
        <v>0</v>
      </c>
      <c r="I12" s="29">
        <v>9591.7685513684737</v>
      </c>
      <c r="J12" s="29">
        <f t="shared" si="0"/>
        <v>617.46270380570616</v>
      </c>
      <c r="K12" s="27">
        <v>103</v>
      </c>
      <c r="L12" s="27">
        <v>7</v>
      </c>
      <c r="M12" s="24">
        <f t="shared" si="1"/>
        <v>93.12396651814052</v>
      </c>
    </row>
    <row r="13" spans="1:14" x14ac:dyDescent="0.25">
      <c r="A13" s="36">
        <v>5</v>
      </c>
      <c r="B13" s="24" t="s">
        <v>13</v>
      </c>
      <c r="C13" s="24" t="s">
        <v>16</v>
      </c>
      <c r="D13" s="25">
        <v>46180.547175925924</v>
      </c>
      <c r="E13" s="25">
        <v>46181.06925925926</v>
      </c>
      <c r="F13" s="26">
        <v>12.53</v>
      </c>
      <c r="G13" s="26">
        <v>7728.4069344953896</v>
      </c>
      <c r="H13" s="26">
        <v>857.03</v>
      </c>
      <c r="I13" s="26">
        <v>8585.4369344953902</v>
      </c>
      <c r="J13" s="26">
        <f t="shared" si="0"/>
        <v>685.19049756547406</v>
      </c>
      <c r="K13" s="24">
        <v>105</v>
      </c>
      <c r="L13" s="24">
        <v>7</v>
      </c>
      <c r="M13" s="24">
        <f t="shared" si="1"/>
        <v>81.766066042813236</v>
      </c>
    </row>
    <row r="14" spans="1:14" x14ac:dyDescent="0.25">
      <c r="A14" s="37"/>
      <c r="B14" s="27" t="s">
        <v>16</v>
      </c>
      <c r="C14" s="27" t="s">
        <v>13</v>
      </c>
      <c r="D14" s="28">
        <v>46181.634131944447</v>
      </c>
      <c r="E14" s="28">
        <v>46182.311828703707</v>
      </c>
      <c r="F14" s="29">
        <v>16.264722219999999</v>
      </c>
      <c r="G14" s="29">
        <v>8160.554497312969</v>
      </c>
      <c r="H14" s="29">
        <v>1446.65</v>
      </c>
      <c r="I14" s="29">
        <v>9607.2044973129687</v>
      </c>
      <c r="J14" s="29">
        <f t="shared" si="0"/>
        <v>590.67744086643052</v>
      </c>
      <c r="K14" s="27">
        <v>103</v>
      </c>
      <c r="L14" s="27">
        <v>7</v>
      </c>
      <c r="M14" s="24">
        <f t="shared" si="1"/>
        <v>93.273830070999693</v>
      </c>
    </row>
    <row r="15" spans="1:14" x14ac:dyDescent="0.25">
      <c r="A15" s="36">
        <v>6</v>
      </c>
      <c r="B15" s="24" t="s">
        <v>13</v>
      </c>
      <c r="C15" s="24" t="s">
        <v>16</v>
      </c>
      <c r="D15" s="25">
        <v>46182.651284722226</v>
      </c>
      <c r="E15" s="25">
        <v>46183.217951388891</v>
      </c>
      <c r="F15" s="26">
        <v>13.6</v>
      </c>
      <c r="G15" s="26">
        <v>8350.9544799355208</v>
      </c>
      <c r="H15" s="26">
        <v>589.62</v>
      </c>
      <c r="I15" s="26">
        <v>8940.5744799355216</v>
      </c>
      <c r="J15" s="26">
        <f t="shared" si="0"/>
        <v>657.39518234820014</v>
      </c>
      <c r="K15" s="24">
        <v>104</v>
      </c>
      <c r="L15" s="24">
        <v>7</v>
      </c>
      <c r="M15" s="24">
        <f t="shared" si="1"/>
        <v>85.967062307072325</v>
      </c>
    </row>
    <row r="16" spans="1:14" x14ac:dyDescent="0.25">
      <c r="A16" s="37"/>
      <c r="B16" s="27" t="s">
        <v>16</v>
      </c>
      <c r="C16" s="27" t="s">
        <v>13</v>
      </c>
      <c r="D16" s="28">
        <v>46183.586377314816</v>
      </c>
      <c r="E16" s="28">
        <v>46184.225069444445</v>
      </c>
      <c r="F16" s="29">
        <v>15.328611111111112</v>
      </c>
      <c r="G16" s="29">
        <v>9434.4630001374244</v>
      </c>
      <c r="H16" s="29">
        <v>548.77</v>
      </c>
      <c r="I16" s="29">
        <v>9983.2330001374248</v>
      </c>
      <c r="J16" s="29">
        <f t="shared" si="0"/>
        <v>651.28098871925647</v>
      </c>
      <c r="K16" s="27">
        <v>102</v>
      </c>
      <c r="L16" s="27">
        <v>7</v>
      </c>
      <c r="M16" s="24">
        <f t="shared" si="1"/>
        <v>97.874833334680631</v>
      </c>
    </row>
    <row r="17" spans="1:13" x14ac:dyDescent="0.25">
      <c r="A17" s="36">
        <v>7</v>
      </c>
      <c r="B17" s="24" t="s">
        <v>13</v>
      </c>
      <c r="C17" s="24" t="s">
        <v>16</v>
      </c>
      <c r="D17" s="25">
        <v>46184.426747685182</v>
      </c>
      <c r="E17" s="25">
        <v>46185.020219907405</v>
      </c>
      <c r="F17" s="26">
        <v>14.243333333333334</v>
      </c>
      <c r="G17" s="26">
        <v>6189.7281285967019</v>
      </c>
      <c r="H17" s="26">
        <v>1412.53</v>
      </c>
      <c r="I17" s="26">
        <v>7602.2581285967017</v>
      </c>
      <c r="J17" s="26">
        <f t="shared" si="0"/>
        <v>533.7415021247391</v>
      </c>
      <c r="K17" s="24">
        <v>103</v>
      </c>
      <c r="L17" s="24">
        <v>7</v>
      </c>
      <c r="M17" s="24">
        <f t="shared" si="1"/>
        <v>73.808331345599044</v>
      </c>
    </row>
    <row r="18" spans="1:13" x14ac:dyDescent="0.25">
      <c r="A18" s="37"/>
      <c r="B18" s="27" t="s">
        <v>16</v>
      </c>
      <c r="C18" s="27" t="s">
        <v>13</v>
      </c>
      <c r="D18" s="28">
        <v>46185.662766203706</v>
      </c>
      <c r="E18" s="28">
        <v>46186.275613425925</v>
      </c>
      <c r="F18" s="29">
        <v>14.708333333333334</v>
      </c>
      <c r="G18" s="29">
        <v>9085.4686859984431</v>
      </c>
      <c r="H18" s="29">
        <v>1376.8400000000001</v>
      </c>
      <c r="I18" s="29">
        <v>10462.308685998443</v>
      </c>
      <c r="J18" s="29">
        <f t="shared" si="0"/>
        <v>711.31843757496495</v>
      </c>
      <c r="K18" s="27">
        <v>101</v>
      </c>
      <c r="L18" s="27">
        <v>7</v>
      </c>
      <c r="M18" s="24">
        <f t="shared" si="1"/>
        <v>103.58721471285587</v>
      </c>
    </row>
    <row r="19" spans="1:13" x14ac:dyDescent="0.25">
      <c r="A19" s="36">
        <v>8</v>
      </c>
      <c r="B19" s="24" t="s">
        <v>13</v>
      </c>
      <c r="C19" s="24" t="s">
        <v>16</v>
      </c>
      <c r="D19" s="25">
        <v>46186.569930555554</v>
      </c>
      <c r="E19" s="25">
        <v>46187.218402777777</v>
      </c>
      <c r="F19" s="26">
        <v>8.9097222222222214</v>
      </c>
      <c r="G19" s="26">
        <v>5499.7406991339431</v>
      </c>
      <c r="H19" s="26">
        <v>1026.1600000000001</v>
      </c>
      <c r="I19" s="26">
        <v>6525.9006991339429</v>
      </c>
      <c r="J19" s="26">
        <f t="shared" si="0"/>
        <v>732.44715563155717</v>
      </c>
      <c r="K19" s="24">
        <v>114</v>
      </c>
      <c r="L19" s="24">
        <v>7</v>
      </c>
      <c r="M19" s="24">
        <f t="shared" si="1"/>
        <v>57.24474297485915</v>
      </c>
    </row>
    <row r="20" spans="1:13" x14ac:dyDescent="0.25">
      <c r="A20" s="37"/>
      <c r="B20" s="27" t="s">
        <v>16</v>
      </c>
      <c r="C20" s="27" t="s">
        <v>13</v>
      </c>
      <c r="D20" s="28">
        <v>46187.6</v>
      </c>
      <c r="E20" s="28">
        <v>46188.216053240743</v>
      </c>
      <c r="F20" s="29">
        <v>14.785277777777777</v>
      </c>
      <c r="G20" s="29">
        <v>8993.3760897736574</v>
      </c>
      <c r="H20" s="29">
        <v>183.70999999999998</v>
      </c>
      <c r="I20" s="29">
        <v>9177.0860897736566</v>
      </c>
      <c r="J20" s="29">
        <f t="shared" si="0"/>
        <v>620.69081336887609</v>
      </c>
      <c r="K20" s="27">
        <v>105</v>
      </c>
      <c r="L20" s="27">
        <v>7</v>
      </c>
      <c r="M20" s="24">
        <f t="shared" si="1"/>
        <v>87.400819902606258</v>
      </c>
    </row>
    <row r="21" spans="1:13" x14ac:dyDescent="0.25">
      <c r="A21" s="36">
        <v>9</v>
      </c>
      <c r="B21" s="24" t="s">
        <v>13</v>
      </c>
      <c r="C21" s="24" t="s">
        <v>16</v>
      </c>
      <c r="D21" s="25">
        <v>46188.493530092594</v>
      </c>
      <c r="E21" s="25">
        <v>46189.020138888889</v>
      </c>
      <c r="F21" s="26">
        <v>12.638611111111111</v>
      </c>
      <c r="G21" s="26">
        <v>7774.5837872616457</v>
      </c>
      <c r="H21" s="26">
        <v>1006.95</v>
      </c>
      <c r="I21" s="26">
        <v>8781.5337872616456</v>
      </c>
      <c r="J21" s="26">
        <f t="shared" si="0"/>
        <v>694.81794400188846</v>
      </c>
      <c r="K21" s="24">
        <v>103</v>
      </c>
      <c r="L21" s="24">
        <v>8</v>
      </c>
      <c r="M21" s="24">
        <f t="shared" si="1"/>
        <v>85.257609585064515</v>
      </c>
    </row>
    <row r="22" spans="1:13" x14ac:dyDescent="0.25">
      <c r="A22" s="37"/>
      <c r="B22" s="27" t="s">
        <v>16</v>
      </c>
      <c r="C22" s="27" t="s">
        <v>13</v>
      </c>
      <c r="D22" s="28">
        <v>46189.636053240742</v>
      </c>
      <c r="E22" s="28">
        <v>46190.247928240744</v>
      </c>
      <c r="F22" s="29">
        <v>14.685</v>
      </c>
      <c r="G22" s="29">
        <v>9071.2351456173164</v>
      </c>
      <c r="H22" s="29">
        <v>1345.27</v>
      </c>
      <c r="I22" s="29">
        <v>10416.505145617317</v>
      </c>
      <c r="J22" s="29">
        <f t="shared" si="0"/>
        <v>709.32959793103964</v>
      </c>
      <c r="K22" s="27">
        <v>104</v>
      </c>
      <c r="L22" s="27">
        <v>7</v>
      </c>
      <c r="M22" s="24">
        <f t="shared" si="1"/>
        <v>100.15870332324343</v>
      </c>
    </row>
    <row r="23" spans="1:13" x14ac:dyDescent="0.25">
      <c r="A23" s="36">
        <v>10</v>
      </c>
      <c r="B23" s="24" t="s">
        <v>13</v>
      </c>
      <c r="C23" s="24" t="s">
        <v>16</v>
      </c>
      <c r="D23" s="25">
        <v>46190.551585648151</v>
      </c>
      <c r="E23" s="25">
        <v>46191.036863425928</v>
      </c>
      <c r="F23" s="26">
        <v>11.646666666666667</v>
      </c>
      <c r="G23" s="26">
        <v>6878.5564886903094</v>
      </c>
      <c r="H23" s="26">
        <v>481.83</v>
      </c>
      <c r="I23" s="26">
        <v>7360.3864886903093</v>
      </c>
      <c r="J23" s="26">
        <f t="shared" si="0"/>
        <v>631.97365386579645</v>
      </c>
      <c r="K23" s="24">
        <v>104</v>
      </c>
      <c r="L23" s="24">
        <v>7</v>
      </c>
      <c r="M23" s="24">
        <f t="shared" si="1"/>
        <v>70.772947006637594</v>
      </c>
    </row>
    <row r="24" spans="1:13" x14ac:dyDescent="0.25">
      <c r="A24" s="37"/>
      <c r="B24" s="27" t="s">
        <v>16</v>
      </c>
      <c r="C24" s="27" t="s">
        <v>13</v>
      </c>
      <c r="D24" s="28">
        <v>46191.713125000002</v>
      </c>
      <c r="E24" s="28">
        <v>46192.318124999998</v>
      </c>
      <c r="F24" s="29">
        <v>14.52</v>
      </c>
      <c r="G24" s="29">
        <v>8888.0104023942604</v>
      </c>
      <c r="H24" s="29">
        <v>0</v>
      </c>
      <c r="I24" s="29">
        <v>8888.0104023942604</v>
      </c>
      <c r="J24" s="29">
        <f t="shared" si="0"/>
        <v>612.12192853954969</v>
      </c>
      <c r="K24" s="27">
        <v>108</v>
      </c>
      <c r="L24" s="27">
        <v>7</v>
      </c>
      <c r="M24" s="24">
        <f t="shared" si="1"/>
        <v>82.296392614761672</v>
      </c>
    </row>
    <row r="25" spans="1:13" x14ac:dyDescent="0.25">
      <c r="A25" s="36">
        <v>11</v>
      </c>
      <c r="B25" s="24" t="s">
        <v>13</v>
      </c>
      <c r="C25" s="24" t="s">
        <v>16</v>
      </c>
      <c r="D25" s="25">
        <v>46192.674699074072</v>
      </c>
      <c r="E25" s="25">
        <v>46193.252569444441</v>
      </c>
      <c r="F25" s="26">
        <v>13.86888888888889</v>
      </c>
      <c r="G25" s="26">
        <v>7689.122866861906</v>
      </c>
      <c r="H25" s="26">
        <v>738.44</v>
      </c>
      <c r="I25" s="26">
        <v>8427.5628668619065</v>
      </c>
      <c r="J25" s="26">
        <f t="shared" si="0"/>
        <v>607.65955617494922</v>
      </c>
      <c r="K25" s="24">
        <v>102</v>
      </c>
      <c r="L25" s="24">
        <v>8</v>
      </c>
      <c r="M25" s="24">
        <f t="shared" si="1"/>
        <v>82.623165361391244</v>
      </c>
    </row>
    <row r="26" spans="1:13" x14ac:dyDescent="0.25">
      <c r="A26" s="37"/>
      <c r="B26" s="27" t="s">
        <v>16</v>
      </c>
      <c r="C26" s="27" t="s">
        <v>13</v>
      </c>
      <c r="D26" s="28">
        <v>46193.656759259262</v>
      </c>
      <c r="E26" s="28">
        <v>46194.260937500003</v>
      </c>
      <c r="F26" s="29">
        <v>14.500277777777777</v>
      </c>
      <c r="G26" s="29">
        <v>8929.2639403054873</v>
      </c>
      <c r="H26" s="29">
        <v>1317.43</v>
      </c>
      <c r="I26" s="29">
        <v>10246.693940305488</v>
      </c>
      <c r="J26" s="29">
        <f t="shared" si="0"/>
        <v>706.65501015497318</v>
      </c>
      <c r="K26" s="27">
        <v>99</v>
      </c>
      <c r="L26" s="27">
        <v>7</v>
      </c>
      <c r="M26" s="24">
        <f t="shared" si="1"/>
        <v>103.50195899298473</v>
      </c>
    </row>
    <row r="27" spans="1:13" x14ac:dyDescent="0.25">
      <c r="A27" s="36">
        <v>12</v>
      </c>
      <c r="B27" s="24" t="s">
        <v>13</v>
      </c>
      <c r="C27" s="24" t="s">
        <v>16</v>
      </c>
      <c r="D27" s="25">
        <v>46195.819849537038</v>
      </c>
      <c r="E27" s="25">
        <v>46196.362766203703</v>
      </c>
      <c r="F27" s="26">
        <v>13.03</v>
      </c>
      <c r="G27" s="26">
        <v>8044.9657557920955</v>
      </c>
      <c r="H27" s="26">
        <v>142.94</v>
      </c>
      <c r="I27" s="26">
        <v>8187.9057557920951</v>
      </c>
      <c r="J27" s="26">
        <f t="shared" si="0"/>
        <v>628.38877634628511</v>
      </c>
      <c r="K27" s="24">
        <v>102</v>
      </c>
      <c r="L27" s="24">
        <v>7</v>
      </c>
      <c r="M27" s="24">
        <f t="shared" si="1"/>
        <v>80.273585841098978</v>
      </c>
    </row>
    <row r="28" spans="1:13" x14ac:dyDescent="0.25">
      <c r="A28" s="37"/>
      <c r="B28" s="27" t="s">
        <v>16</v>
      </c>
      <c r="C28" s="27" t="s">
        <v>13</v>
      </c>
      <c r="D28" s="28">
        <v>46196.844097222223</v>
      </c>
      <c r="E28" s="28">
        <v>46197.438900462963</v>
      </c>
      <c r="F28" s="29">
        <v>14.275277777777777</v>
      </c>
      <c r="G28" s="29">
        <v>8813.3377788256421</v>
      </c>
      <c r="H28" s="29">
        <v>1002.28</v>
      </c>
      <c r="I28" s="29">
        <v>9815.6177788256427</v>
      </c>
      <c r="J28" s="29">
        <f t="shared" si="0"/>
        <v>687.59557128237077</v>
      </c>
      <c r="K28" s="27">
        <v>101</v>
      </c>
      <c r="L28" s="27">
        <v>7</v>
      </c>
      <c r="M28" s="24">
        <f t="shared" si="1"/>
        <v>97.184334443818244</v>
      </c>
    </row>
    <row r="29" spans="1:13" x14ac:dyDescent="0.25">
      <c r="A29" s="36">
        <v>13</v>
      </c>
      <c r="B29" s="24" t="s">
        <v>13</v>
      </c>
      <c r="C29" s="24" t="s">
        <v>16</v>
      </c>
      <c r="D29" s="25">
        <v>46198.017280092594</v>
      </c>
      <c r="E29" s="25">
        <v>46198.556145833332</v>
      </c>
      <c r="F29" s="26">
        <v>12.932777777777778</v>
      </c>
      <c r="G29" s="26">
        <v>7984.6921905065738</v>
      </c>
      <c r="H29" s="26">
        <v>752.58</v>
      </c>
      <c r="I29" s="26">
        <v>8737.2721905065737</v>
      </c>
      <c r="J29" s="26">
        <f t="shared" si="0"/>
        <v>675.59130301610173</v>
      </c>
      <c r="K29" s="24">
        <v>103</v>
      </c>
      <c r="L29" s="24">
        <v>7</v>
      </c>
      <c r="M29" s="24">
        <f t="shared" si="1"/>
        <v>84.82788534472401</v>
      </c>
    </row>
    <row r="30" spans="1:13" x14ac:dyDescent="0.25">
      <c r="A30" s="37"/>
      <c r="B30" s="27" t="s">
        <v>16</v>
      </c>
      <c r="C30" s="27" t="s">
        <v>13</v>
      </c>
      <c r="D30" s="28">
        <v>46199.481226851851</v>
      </c>
      <c r="E30" s="28">
        <v>46200.139097222222</v>
      </c>
      <c r="F30" s="29">
        <v>15.78888888888889</v>
      </c>
      <c r="G30" s="29">
        <v>9746.947525452646</v>
      </c>
      <c r="H30" s="29">
        <v>173.72</v>
      </c>
      <c r="I30" s="29">
        <v>9920.6675254526454</v>
      </c>
      <c r="J30" s="29">
        <f t="shared" si="0"/>
        <v>628.33221484218018</v>
      </c>
      <c r="K30" s="27">
        <v>105</v>
      </c>
      <c r="L30" s="27">
        <v>6</v>
      </c>
      <c r="M30" s="24">
        <f t="shared" si="1"/>
        <v>94.482547861453767</v>
      </c>
    </row>
    <row r="31" spans="1:13" x14ac:dyDescent="0.25">
      <c r="A31" s="36">
        <v>14</v>
      </c>
      <c r="B31" s="24" t="s">
        <v>13</v>
      </c>
      <c r="C31" s="24" t="s">
        <v>16</v>
      </c>
      <c r="D31" s="25">
        <v>46200.911481481482</v>
      </c>
      <c r="E31" s="25">
        <v>46201.453773148147</v>
      </c>
      <c r="F31" s="26">
        <v>13.015000000000001</v>
      </c>
      <c r="G31" s="26">
        <v>8012.8043421396551</v>
      </c>
      <c r="H31" s="26">
        <v>1037.49</v>
      </c>
      <c r="I31" s="26">
        <v>9050.2943421396558</v>
      </c>
      <c r="J31" s="26">
        <f t="shared" si="0"/>
        <v>695.37413308794896</v>
      </c>
      <c r="K31" s="24">
        <v>101</v>
      </c>
      <c r="L31" s="24">
        <v>7</v>
      </c>
      <c r="M31" s="24">
        <f t="shared" si="1"/>
        <v>89.606874674650058</v>
      </c>
    </row>
    <row r="32" spans="1:13" x14ac:dyDescent="0.25">
      <c r="A32" s="37"/>
      <c r="B32" s="27" t="s">
        <v>16</v>
      </c>
      <c r="C32" s="27" t="s">
        <v>13</v>
      </c>
      <c r="D32" s="28">
        <v>46201.753888888888</v>
      </c>
      <c r="E32" s="28">
        <v>46202.380856481483</v>
      </c>
      <c r="F32" s="29">
        <v>15.047222222222222</v>
      </c>
      <c r="G32" s="29">
        <v>9265.5357543471637</v>
      </c>
      <c r="H32" s="29">
        <v>1727.17</v>
      </c>
      <c r="I32" s="29">
        <v>10992.705754347164</v>
      </c>
      <c r="J32" s="29">
        <f t="shared" si="0"/>
        <v>730.54717953940906</v>
      </c>
      <c r="K32" s="27">
        <v>106</v>
      </c>
      <c r="L32" s="27">
        <v>6</v>
      </c>
      <c r="M32" s="24">
        <f t="shared" si="1"/>
        <v>103.70477126742607</v>
      </c>
    </row>
    <row r="33" spans="1:13" x14ac:dyDescent="0.25">
      <c r="A33" s="36">
        <v>15</v>
      </c>
      <c r="B33" s="24" t="s">
        <v>13</v>
      </c>
      <c r="C33" s="24" t="s">
        <v>16</v>
      </c>
      <c r="D33" s="25">
        <v>46203.045428240737</v>
      </c>
      <c r="E33" s="25">
        <v>46203.567337962966</v>
      </c>
      <c r="F33" s="26">
        <v>12.525833333333333</v>
      </c>
      <c r="G33" s="26">
        <v>7733.2388202928832</v>
      </c>
      <c r="H33" s="26">
        <v>114.38</v>
      </c>
      <c r="I33" s="26">
        <v>7847.6188202928834</v>
      </c>
      <c r="J33" s="26">
        <f t="shared" si="0"/>
        <v>626.5147085590753</v>
      </c>
      <c r="K33" s="24">
        <v>101</v>
      </c>
      <c r="L33" s="24">
        <v>7</v>
      </c>
      <c r="M33" s="24">
        <f t="shared" si="1"/>
        <v>77.699196240523591</v>
      </c>
    </row>
    <row r="34" spans="1:13" x14ac:dyDescent="0.25">
      <c r="A34" s="37"/>
      <c r="B34" s="27" t="s">
        <v>16</v>
      </c>
      <c r="C34" s="27" t="s">
        <v>13</v>
      </c>
      <c r="D34" s="28">
        <v>46203.811412037037</v>
      </c>
      <c r="E34" s="28">
        <v>46204.434016203704</v>
      </c>
      <c r="F34" s="29">
        <v>14.942500000000001</v>
      </c>
      <c r="G34" s="29">
        <v>9222.6010363662845</v>
      </c>
      <c r="H34" s="29">
        <v>57.19</v>
      </c>
      <c r="I34" s="29">
        <v>9279.791036366285</v>
      </c>
      <c r="J34" s="29">
        <f t="shared" si="0"/>
        <v>621.03336365175073</v>
      </c>
      <c r="K34" s="27">
        <v>102</v>
      </c>
      <c r="L34" s="27">
        <v>7</v>
      </c>
      <c r="M34" s="24">
        <f t="shared" si="1"/>
        <v>90.978343493787108</v>
      </c>
    </row>
    <row r="35" spans="1:13" x14ac:dyDescent="0.25">
      <c r="A35" s="36">
        <v>16</v>
      </c>
      <c r="B35" s="24" t="s">
        <v>13</v>
      </c>
      <c r="C35" s="24" t="s">
        <v>16</v>
      </c>
      <c r="D35" s="25">
        <v>46206.983715277776</v>
      </c>
      <c r="E35" s="25">
        <v>46207.533877314818</v>
      </c>
      <c r="F35" s="26">
        <v>13.203888888888889</v>
      </c>
      <c r="G35" s="26">
        <v>8138.2282448470696</v>
      </c>
      <c r="H35" s="26">
        <v>868.49</v>
      </c>
      <c r="I35" s="26">
        <v>9006.7182448470703</v>
      </c>
      <c r="J35" s="26">
        <f t="shared" si="0"/>
        <v>682.12617666195672</v>
      </c>
      <c r="K35" s="24">
        <v>100</v>
      </c>
      <c r="L35" s="24">
        <v>7</v>
      </c>
      <c r="M35" s="24">
        <f t="shared" si="1"/>
        <v>90.067182448470703</v>
      </c>
    </row>
    <row r="36" spans="1:13" x14ac:dyDescent="0.25">
      <c r="A36" s="37"/>
      <c r="B36" s="27" t="s">
        <v>16</v>
      </c>
      <c r="C36" s="27" t="s">
        <v>13</v>
      </c>
      <c r="D36" s="28">
        <v>46207.771597222221</v>
      </c>
      <c r="E36" s="28">
        <v>46208.424039351848</v>
      </c>
      <c r="F36" s="29">
        <v>15.658611111111112</v>
      </c>
      <c r="G36" s="29">
        <v>9668.3517748376307</v>
      </c>
      <c r="H36" s="29">
        <v>367.99</v>
      </c>
      <c r="I36" s="29">
        <v>10036.341774837631</v>
      </c>
      <c r="J36" s="29">
        <f t="shared" si="0"/>
        <v>640.94712510715556</v>
      </c>
      <c r="K36" s="27">
        <v>105</v>
      </c>
      <c r="L36" s="27">
        <v>6</v>
      </c>
      <c r="M36" s="24">
        <f t="shared" si="1"/>
        <v>95.58420737940601</v>
      </c>
    </row>
    <row r="37" spans="1:13" x14ac:dyDescent="0.25">
      <c r="A37" s="36">
        <v>17</v>
      </c>
      <c r="B37" s="24" t="s">
        <v>13</v>
      </c>
      <c r="C37" s="24" t="s">
        <v>16</v>
      </c>
      <c r="D37" s="25">
        <v>46208.746805555558</v>
      </c>
      <c r="E37" s="25">
        <v>46209.264097222222</v>
      </c>
      <c r="F37" s="26">
        <v>12.414999999999999</v>
      </c>
      <c r="G37" s="26">
        <v>7666.6902933954379</v>
      </c>
      <c r="H37" s="26">
        <v>363.19</v>
      </c>
      <c r="I37" s="26">
        <v>8029.8802933954375</v>
      </c>
      <c r="J37" s="26">
        <f t="shared" si="0"/>
        <v>646.78858585545208</v>
      </c>
      <c r="K37" s="24">
        <v>106</v>
      </c>
      <c r="L37" s="24">
        <v>7</v>
      </c>
      <c r="M37" s="24">
        <f t="shared" si="1"/>
        <v>75.753587673541858</v>
      </c>
    </row>
    <row r="38" spans="1:13" x14ac:dyDescent="0.25">
      <c r="A38" s="37"/>
      <c r="B38" s="27" t="s">
        <v>16</v>
      </c>
      <c r="C38" s="27" t="s">
        <v>13</v>
      </c>
      <c r="D38" s="28">
        <v>46209.555439814816</v>
      </c>
      <c r="E38" s="28">
        <v>46210.161562499998</v>
      </c>
      <c r="F38" s="29">
        <v>14.546944444444444</v>
      </c>
      <c r="G38" s="29">
        <v>8977.0257923027293</v>
      </c>
      <c r="H38" s="29">
        <v>215.5</v>
      </c>
      <c r="I38" s="29">
        <v>9192.5257923027293</v>
      </c>
      <c r="J38" s="29">
        <f t="shared" si="0"/>
        <v>631.92142015867842</v>
      </c>
      <c r="K38" s="27">
        <v>99</v>
      </c>
      <c r="L38" s="27">
        <v>7</v>
      </c>
      <c r="M38" s="24">
        <f t="shared" si="1"/>
        <v>92.853795881845755</v>
      </c>
    </row>
    <row r="39" spans="1:13" x14ac:dyDescent="0.25">
      <c r="A39" s="32" t="s">
        <v>109</v>
      </c>
      <c r="B39" s="33"/>
      <c r="C39" s="33"/>
      <c r="D39" s="34"/>
      <c r="E39" s="34"/>
      <c r="F39" s="31">
        <f>SUM(F5:F38)</f>
        <v>476.67972221999997</v>
      </c>
      <c r="G39" s="31">
        <f>SUM(G5:G38)</f>
        <v>286581.69498577161</v>
      </c>
      <c r="H39" s="31">
        <f>SUM(H5:H38)</f>
        <v>25100.610000000004</v>
      </c>
      <c r="I39" s="31">
        <f>SUM(I5:I38)</f>
        <v>311682.30498577171</v>
      </c>
      <c r="J39" s="31">
        <f>IFERROR(I39/F39,0)</f>
        <v>653.86105272991301</v>
      </c>
      <c r="K39" s="30">
        <f>SUM(K5:K38)</f>
        <v>3509</v>
      </c>
      <c r="L39" s="30">
        <f>AVERAGE(L5:L38)</f>
        <v>6.9705882352941178</v>
      </c>
      <c r="M39" s="30">
        <f>AVERAGE(M5:M38)</f>
        <v>88.923845818129934</v>
      </c>
    </row>
    <row r="40" spans="1:13" x14ac:dyDescent="0.25">
      <c r="A40" s="4"/>
      <c r="D40" s="5"/>
      <c r="E40" s="5"/>
      <c r="F40" s="3"/>
      <c r="G40" s="3"/>
      <c r="H40" s="3"/>
      <c r="I40" s="3"/>
      <c r="J40" s="3"/>
    </row>
    <row r="41" spans="1:13" x14ac:dyDescent="0.25">
      <c r="A41" s="4"/>
      <c r="B41" s="4"/>
      <c r="C41" s="4"/>
      <c r="D41" s="5"/>
      <c r="E41" s="5"/>
      <c r="F41" s="3"/>
      <c r="G41" s="3"/>
      <c r="H41" s="3"/>
      <c r="I41" s="3"/>
      <c r="J41" s="3"/>
      <c r="K41" s="4"/>
      <c r="L41" s="4"/>
      <c r="M41" s="4"/>
    </row>
    <row r="42" spans="1:13" x14ac:dyDescent="0.25">
      <c r="A42" s="4"/>
      <c r="B42" s="4"/>
      <c r="C42" s="4"/>
      <c r="D42" s="5"/>
      <c r="E42" s="5"/>
      <c r="F42" s="3"/>
      <c r="G42" s="3"/>
      <c r="H42" s="3"/>
      <c r="I42" s="3"/>
      <c r="J42" s="3"/>
      <c r="K42" s="4"/>
      <c r="L42" s="4"/>
      <c r="M42" s="4"/>
    </row>
    <row r="43" spans="1:13" x14ac:dyDescent="0.25">
      <c r="A43" s="4"/>
      <c r="D43" s="5"/>
      <c r="E43" s="5"/>
      <c r="F43" s="3"/>
      <c r="G43" s="3"/>
      <c r="H43" s="3"/>
      <c r="I43" s="3"/>
      <c r="J43" s="3"/>
    </row>
    <row r="44" spans="1:13" x14ac:dyDescent="0.25">
      <c r="A44" s="4"/>
      <c r="D44" s="5"/>
      <c r="E44" s="5"/>
      <c r="F44" s="3"/>
      <c r="G44" s="3"/>
      <c r="H44" s="3"/>
      <c r="I44" s="3"/>
      <c r="J44" s="3"/>
    </row>
    <row r="45" spans="1:13" x14ac:dyDescent="0.25">
      <c r="A45" s="4"/>
      <c r="D45" s="5"/>
      <c r="E45" s="5"/>
      <c r="F45" s="3"/>
      <c r="G45" s="3"/>
      <c r="H45" s="3"/>
      <c r="I45" s="3"/>
      <c r="J45" s="3"/>
    </row>
  </sheetData>
  <mergeCells count="20">
    <mergeCell ref="A31:A32"/>
    <mergeCell ref="A33:A34"/>
    <mergeCell ref="A35:A36"/>
    <mergeCell ref="A3:M3"/>
    <mergeCell ref="A39:E39"/>
    <mergeCell ref="A1:M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37:A38"/>
    <mergeCell ref="A27:A28"/>
    <mergeCell ref="A29:A3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58"/>
  <sheetViews>
    <sheetView topLeftCell="A22" workbookViewId="0">
      <selection activeCell="C39" sqref="C39"/>
    </sheetView>
  </sheetViews>
  <sheetFormatPr defaultRowHeight="15" x14ac:dyDescent="0.25"/>
  <cols>
    <col min="1" max="1" width="12.7109375" customWidth="1"/>
    <col min="2" max="2" width="19" customWidth="1"/>
    <col min="3" max="3" width="20.85546875" customWidth="1"/>
    <col min="4" max="4" width="12.7109375" customWidth="1"/>
    <col min="5" max="5" width="14.5703125" customWidth="1"/>
    <col min="6" max="6" width="10.42578125" customWidth="1"/>
    <col min="7" max="7" width="11.85546875" customWidth="1"/>
    <col min="8" max="8" width="13.140625" customWidth="1"/>
    <col min="9" max="9" width="26.42578125" customWidth="1"/>
    <col min="10" max="10" width="14.85546875" customWidth="1"/>
  </cols>
  <sheetData>
    <row r="1" spans="1:10" ht="25.5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30" x14ac:dyDescent="0.2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1" t="s">
        <v>10</v>
      </c>
      <c r="J4" s="1" t="s">
        <v>11</v>
      </c>
    </row>
    <row r="5" spans="1:10" x14ac:dyDescent="0.25">
      <c r="A5" s="11" t="s">
        <v>12</v>
      </c>
      <c r="B5" s="11" t="s">
        <v>13</v>
      </c>
      <c r="C5" s="12" t="s">
        <v>14</v>
      </c>
      <c r="D5" s="13">
        <v>3.54</v>
      </c>
      <c r="E5" s="13">
        <v>3.55</v>
      </c>
      <c r="F5" s="13">
        <v>2192.1400000000003</v>
      </c>
      <c r="G5" s="13">
        <v>1223.8</v>
      </c>
      <c r="H5" s="13">
        <v>3415.9400000000005</v>
      </c>
      <c r="I5" s="11"/>
      <c r="J5" s="11"/>
    </row>
    <row r="6" spans="1:10" x14ac:dyDescent="0.25">
      <c r="A6" s="11" t="s">
        <v>15</v>
      </c>
      <c r="B6" s="11" t="s">
        <v>16</v>
      </c>
      <c r="C6" s="12" t="s">
        <v>17</v>
      </c>
      <c r="D6" s="13">
        <v>15.8</v>
      </c>
      <c r="E6" s="13">
        <v>15.8</v>
      </c>
      <c r="F6" s="13">
        <v>9764.42</v>
      </c>
      <c r="G6" s="13">
        <v>3544.73</v>
      </c>
      <c r="H6" s="13">
        <v>13309.15</v>
      </c>
      <c r="I6" s="11"/>
      <c r="J6" s="11"/>
    </row>
    <row r="7" spans="1:10" ht="12.6" customHeight="1" x14ac:dyDescent="0.25">
      <c r="A7" s="11" t="s">
        <v>18</v>
      </c>
      <c r="B7" s="11" t="s">
        <v>13</v>
      </c>
      <c r="C7" s="12" t="s">
        <v>19</v>
      </c>
      <c r="D7" s="13">
        <v>16.78</v>
      </c>
      <c r="E7" s="13">
        <v>17.11</v>
      </c>
      <c r="F7" s="13">
        <v>10470.060000000001</v>
      </c>
      <c r="G7" s="13">
        <v>2027.77</v>
      </c>
      <c r="H7" s="13">
        <v>12497.830000000002</v>
      </c>
      <c r="I7" s="11"/>
      <c r="J7" s="11"/>
    </row>
    <row r="8" spans="1:10" ht="12.6" customHeight="1" x14ac:dyDescent="0.25">
      <c r="A8" s="11" t="s">
        <v>20</v>
      </c>
      <c r="B8" s="11" t="s">
        <v>16</v>
      </c>
      <c r="C8" s="12" t="s">
        <v>21</v>
      </c>
      <c r="D8" s="13">
        <v>14.29</v>
      </c>
      <c r="E8" s="13">
        <v>14.3</v>
      </c>
      <c r="F8" s="13">
        <v>8835.08</v>
      </c>
      <c r="G8" s="13">
        <v>2286.1899999999996</v>
      </c>
      <c r="H8" s="13">
        <v>11121.27</v>
      </c>
      <c r="I8" s="11"/>
      <c r="J8" s="11"/>
    </row>
    <row r="9" spans="1:10" ht="12.6" customHeight="1" x14ac:dyDescent="0.25">
      <c r="A9" s="11" t="s">
        <v>22</v>
      </c>
      <c r="B9" s="11" t="s">
        <v>13</v>
      </c>
      <c r="C9" s="12" t="s">
        <v>23</v>
      </c>
      <c r="D9" s="13">
        <v>13.07</v>
      </c>
      <c r="E9" s="13">
        <v>13.19</v>
      </c>
      <c r="F9" s="13">
        <v>8113.38</v>
      </c>
      <c r="G9" s="13">
        <v>711.09</v>
      </c>
      <c r="H9" s="13">
        <v>8824.4699999999993</v>
      </c>
      <c r="I9" s="11"/>
      <c r="J9" s="11"/>
    </row>
    <row r="10" spans="1:10" ht="12.6" customHeight="1" x14ac:dyDescent="0.25">
      <c r="A10" s="11" t="s">
        <v>24</v>
      </c>
      <c r="B10" s="11" t="s">
        <v>16</v>
      </c>
      <c r="C10" s="12" t="s">
        <v>25</v>
      </c>
      <c r="D10" s="13">
        <v>16.760000000000002</v>
      </c>
      <c r="E10" s="13">
        <v>16.809999999999999</v>
      </c>
      <c r="F10" s="13">
        <v>10372.130000000001</v>
      </c>
      <c r="G10" s="13">
        <v>3108.66</v>
      </c>
      <c r="H10" s="13">
        <v>13480.79</v>
      </c>
      <c r="I10" s="11"/>
      <c r="J10" s="11"/>
    </row>
    <row r="11" spans="1:10" ht="12.6" customHeight="1" x14ac:dyDescent="0.25">
      <c r="A11" s="11" t="s">
        <v>26</v>
      </c>
      <c r="B11" s="11" t="s">
        <v>13</v>
      </c>
      <c r="C11" s="12" t="s">
        <v>27</v>
      </c>
      <c r="D11" s="13">
        <v>8.6199999999999992</v>
      </c>
      <c r="E11" s="13">
        <v>8.8699999999999992</v>
      </c>
      <c r="F11" s="13">
        <v>5404.34</v>
      </c>
      <c r="G11" s="13">
        <v>2477.1600000000003</v>
      </c>
      <c r="H11" s="13">
        <v>7881.5</v>
      </c>
      <c r="I11" s="11"/>
      <c r="J11" s="11"/>
    </row>
    <row r="12" spans="1:10" ht="12.6" customHeight="1" x14ac:dyDescent="0.25">
      <c r="A12" s="11" t="s">
        <v>28</v>
      </c>
      <c r="B12" s="11" t="s">
        <v>13</v>
      </c>
      <c r="C12" s="12" t="s">
        <v>29</v>
      </c>
      <c r="D12" s="13">
        <v>5.73</v>
      </c>
      <c r="E12" s="13">
        <v>6.05</v>
      </c>
      <c r="F12" s="13">
        <v>3638.8900000000003</v>
      </c>
      <c r="G12" s="13">
        <v>948.2</v>
      </c>
      <c r="H12" s="13">
        <v>4587.09</v>
      </c>
      <c r="I12" s="11"/>
      <c r="J12" s="11"/>
    </row>
    <row r="13" spans="1:10" ht="12.6" customHeight="1" x14ac:dyDescent="0.25">
      <c r="A13" s="11" t="s">
        <v>30</v>
      </c>
      <c r="B13" s="11" t="s">
        <v>16</v>
      </c>
      <c r="C13" s="12" t="s">
        <v>31</v>
      </c>
      <c r="D13" s="13">
        <v>14.19</v>
      </c>
      <c r="E13" s="13">
        <v>14.26</v>
      </c>
      <c r="F13" s="13">
        <v>8791.0400000000009</v>
      </c>
      <c r="G13" s="13">
        <v>2272.4100000000003</v>
      </c>
      <c r="H13" s="13">
        <v>11063.45</v>
      </c>
      <c r="I13" s="11"/>
      <c r="J13" s="11"/>
    </row>
    <row r="14" spans="1:10" ht="12.6" customHeight="1" x14ac:dyDescent="0.25">
      <c r="A14" s="11" t="s">
        <v>32</v>
      </c>
      <c r="B14" s="11" t="s">
        <v>13</v>
      </c>
      <c r="C14" s="12" t="s">
        <v>33</v>
      </c>
      <c r="D14" s="13">
        <v>18.21</v>
      </c>
      <c r="E14" s="13">
        <v>18.170000000000002</v>
      </c>
      <c r="F14" s="13">
        <v>11241.380000000001</v>
      </c>
      <c r="G14" s="13">
        <v>1119.79</v>
      </c>
      <c r="H14" s="13">
        <v>12361.170000000002</v>
      </c>
      <c r="I14" s="11"/>
      <c r="J14" s="11"/>
    </row>
    <row r="15" spans="1:10" ht="12.6" customHeight="1" x14ac:dyDescent="0.25">
      <c r="A15" s="11" t="s">
        <v>34</v>
      </c>
      <c r="B15" s="11" t="s">
        <v>16</v>
      </c>
      <c r="C15" s="12" t="s">
        <v>35</v>
      </c>
      <c r="D15" s="13">
        <v>10.47</v>
      </c>
      <c r="E15" s="13">
        <v>10.43</v>
      </c>
      <c r="F15" s="13">
        <v>6459.17</v>
      </c>
      <c r="G15" s="13">
        <v>3453.16</v>
      </c>
      <c r="H15" s="13">
        <v>9912.33</v>
      </c>
      <c r="I15" s="11"/>
      <c r="J15" s="11"/>
    </row>
    <row r="16" spans="1:10" ht="12.6" customHeight="1" x14ac:dyDescent="0.25">
      <c r="A16" s="11" t="s">
        <v>36</v>
      </c>
      <c r="B16" s="11" t="s">
        <v>13</v>
      </c>
      <c r="C16" s="12" t="s">
        <v>37</v>
      </c>
      <c r="D16" s="13">
        <v>13.16</v>
      </c>
      <c r="E16" s="13">
        <v>13.35</v>
      </c>
      <c r="F16" s="13">
        <v>8190.55</v>
      </c>
      <c r="G16" s="13">
        <v>2006.17</v>
      </c>
      <c r="H16" s="13">
        <v>10196.720000000001</v>
      </c>
      <c r="I16" s="11"/>
      <c r="J16" s="11"/>
    </row>
    <row r="17" spans="1:10" ht="12.6" customHeight="1" x14ac:dyDescent="0.25">
      <c r="A17" s="11" t="s">
        <v>38</v>
      </c>
      <c r="B17" s="11" t="s">
        <v>16</v>
      </c>
      <c r="C17" s="12" t="s">
        <v>39</v>
      </c>
      <c r="D17" s="13">
        <v>15.12</v>
      </c>
      <c r="E17" s="13">
        <v>15.15</v>
      </c>
      <c r="F17" s="13">
        <v>9354.73</v>
      </c>
      <c r="G17" s="13">
        <v>1741.1699999999998</v>
      </c>
      <c r="H17" s="13">
        <v>11095.9</v>
      </c>
      <c r="I17" s="11"/>
      <c r="J17" s="11"/>
    </row>
    <row r="18" spans="1:10" ht="12.6" customHeight="1" x14ac:dyDescent="0.25">
      <c r="A18" s="11" t="s">
        <v>40</v>
      </c>
      <c r="B18" s="11" t="s">
        <v>13</v>
      </c>
      <c r="C18" s="12" t="s">
        <v>41</v>
      </c>
      <c r="D18" s="13">
        <v>12.79</v>
      </c>
      <c r="E18" s="13">
        <v>17.100000000000001</v>
      </c>
      <c r="F18" s="13">
        <v>9235.41</v>
      </c>
      <c r="G18" s="13">
        <v>2018.78</v>
      </c>
      <c r="H18" s="13">
        <v>11254.19</v>
      </c>
      <c r="I18" s="11"/>
      <c r="J18" s="11"/>
    </row>
    <row r="19" spans="1:10" ht="12.6" customHeight="1" x14ac:dyDescent="0.25">
      <c r="A19" s="11" t="s">
        <v>42</v>
      </c>
      <c r="B19" s="11" t="s">
        <v>16</v>
      </c>
      <c r="C19" s="12" t="s">
        <v>43</v>
      </c>
      <c r="D19" s="13">
        <v>8.66</v>
      </c>
      <c r="E19" s="13">
        <v>8.57</v>
      </c>
      <c r="F19" s="13">
        <v>5324.77</v>
      </c>
      <c r="G19" s="13">
        <v>4198.24</v>
      </c>
      <c r="H19" s="13">
        <v>9523.01</v>
      </c>
      <c r="I19" s="11"/>
      <c r="J19" s="11"/>
    </row>
    <row r="20" spans="1:10" ht="12.6" customHeight="1" x14ac:dyDescent="0.25">
      <c r="A20" s="11" t="s">
        <v>44</v>
      </c>
      <c r="B20" s="11" t="s">
        <v>13</v>
      </c>
      <c r="C20" s="12" t="s">
        <v>45</v>
      </c>
      <c r="D20" s="13">
        <v>15.51</v>
      </c>
      <c r="E20" s="13">
        <v>15.52</v>
      </c>
      <c r="F20" s="13">
        <v>9587.17</v>
      </c>
      <c r="G20" s="13">
        <v>1853.0000000000002</v>
      </c>
      <c r="H20" s="13">
        <v>11440.17</v>
      </c>
      <c r="I20" s="11"/>
      <c r="J20" s="11"/>
    </row>
    <row r="21" spans="1:10" ht="12.6" customHeight="1" x14ac:dyDescent="0.25">
      <c r="A21" s="11" t="s">
        <v>46</v>
      </c>
      <c r="B21" s="11" t="s">
        <v>16</v>
      </c>
      <c r="C21" s="12" t="s">
        <v>47</v>
      </c>
      <c r="D21" s="13">
        <v>9.33</v>
      </c>
      <c r="E21" s="13">
        <v>9.73</v>
      </c>
      <c r="F21" s="13">
        <v>5890</v>
      </c>
      <c r="G21" s="13">
        <v>2251.62</v>
      </c>
      <c r="H21" s="13">
        <v>8141.62</v>
      </c>
      <c r="I21" s="11"/>
      <c r="J21" s="11"/>
    </row>
    <row r="22" spans="1:10" ht="12.6" customHeight="1" x14ac:dyDescent="0.25">
      <c r="A22" s="11" t="s">
        <v>48</v>
      </c>
      <c r="B22" s="11" t="s">
        <v>49</v>
      </c>
      <c r="C22" s="12" t="s">
        <v>50</v>
      </c>
      <c r="D22" s="13">
        <v>17.3</v>
      </c>
      <c r="E22" s="13">
        <v>17.239999999999998</v>
      </c>
      <c r="F22" s="13">
        <v>10675.130000000001</v>
      </c>
      <c r="G22" s="13">
        <v>1171.8899999999999</v>
      </c>
      <c r="H22" s="13">
        <v>11847.02</v>
      </c>
      <c r="I22" s="11"/>
      <c r="J22" s="11"/>
    </row>
    <row r="23" spans="1:10" ht="12.6" customHeight="1" x14ac:dyDescent="0.25">
      <c r="A23" s="11" t="s">
        <v>51</v>
      </c>
      <c r="B23" s="11" t="s">
        <v>16</v>
      </c>
      <c r="C23" s="12" t="s">
        <v>52</v>
      </c>
      <c r="D23" s="13">
        <v>9.39</v>
      </c>
      <c r="E23" s="13">
        <v>9.42</v>
      </c>
      <c r="F23" s="13">
        <v>5814.21</v>
      </c>
      <c r="G23" s="13">
        <v>4115.8900000000003</v>
      </c>
      <c r="H23" s="13">
        <v>9930.1</v>
      </c>
      <c r="I23" s="11"/>
      <c r="J23" s="11"/>
    </row>
    <row r="24" spans="1:10" ht="12.6" customHeight="1" x14ac:dyDescent="0.25">
      <c r="A24" s="11" t="s">
        <v>53</v>
      </c>
      <c r="B24" s="11" t="s">
        <v>13</v>
      </c>
      <c r="C24" s="12" t="s">
        <v>54</v>
      </c>
      <c r="D24" s="13">
        <v>17.329999999999998</v>
      </c>
      <c r="E24" s="13">
        <v>16.32</v>
      </c>
      <c r="F24" s="13">
        <v>10398.39</v>
      </c>
      <c r="G24" s="13">
        <v>1834.55</v>
      </c>
      <c r="H24" s="13">
        <v>12232.939999999999</v>
      </c>
      <c r="I24" s="11"/>
      <c r="J24" s="11"/>
    </row>
    <row r="25" spans="1:10" ht="12.6" customHeight="1" x14ac:dyDescent="0.25">
      <c r="A25" s="11" t="s">
        <v>55</v>
      </c>
      <c r="B25" s="11" t="s">
        <v>16</v>
      </c>
      <c r="C25" s="12" t="s">
        <v>56</v>
      </c>
      <c r="D25" s="13">
        <v>7.75</v>
      </c>
      <c r="E25" s="13">
        <v>7.84</v>
      </c>
      <c r="F25" s="13">
        <v>4817.32</v>
      </c>
      <c r="G25" s="13">
        <v>2316.2199999999998</v>
      </c>
      <c r="H25" s="13">
        <v>7133.5399999999991</v>
      </c>
      <c r="I25" s="11"/>
      <c r="J25" s="11"/>
    </row>
    <row r="26" spans="1:10" ht="12.6" customHeight="1" x14ac:dyDescent="0.25">
      <c r="A26" s="11" t="s">
        <v>57</v>
      </c>
      <c r="B26" s="11" t="s">
        <v>13</v>
      </c>
      <c r="C26" s="12" t="s">
        <v>58</v>
      </c>
      <c r="D26" s="13">
        <v>14.61</v>
      </c>
      <c r="E26" s="13">
        <v>14.62</v>
      </c>
      <c r="F26" s="13">
        <v>9032.16</v>
      </c>
      <c r="G26" s="13">
        <v>1080.18</v>
      </c>
      <c r="H26" s="13">
        <v>10112.34</v>
      </c>
      <c r="I26" s="11"/>
      <c r="J26" s="11"/>
    </row>
    <row r="27" spans="1:10" ht="12.6" customHeight="1" x14ac:dyDescent="0.25">
      <c r="A27" s="11" t="s">
        <v>59</v>
      </c>
      <c r="B27" s="11" t="s">
        <v>16</v>
      </c>
      <c r="C27" s="12" t="s">
        <v>60</v>
      </c>
      <c r="D27" s="13">
        <v>14.28</v>
      </c>
      <c r="E27" s="13">
        <v>14.22</v>
      </c>
      <c r="F27" s="13">
        <v>8804.7799999999988</v>
      </c>
      <c r="G27" s="13">
        <v>3785.7599999999998</v>
      </c>
      <c r="H27" s="13">
        <v>12590.539999999999</v>
      </c>
      <c r="I27" s="11"/>
      <c r="J27" s="11"/>
    </row>
    <row r="28" spans="1:10" ht="12.6" customHeight="1" x14ac:dyDescent="0.25">
      <c r="A28" s="11" t="s">
        <v>61</v>
      </c>
      <c r="B28" s="11" t="s">
        <v>13</v>
      </c>
      <c r="C28" s="12" t="s">
        <v>62</v>
      </c>
      <c r="D28" s="13">
        <v>6.25</v>
      </c>
      <c r="E28" s="13">
        <v>6.18</v>
      </c>
      <c r="F28" s="13">
        <v>3841.2</v>
      </c>
      <c r="G28" s="13">
        <v>1157.98</v>
      </c>
      <c r="H28" s="13">
        <v>4999.18</v>
      </c>
      <c r="I28" s="11"/>
      <c r="J28" s="11"/>
    </row>
    <row r="29" spans="1:10" ht="12.6" customHeight="1" x14ac:dyDescent="0.25">
      <c r="A29" s="11" t="s">
        <v>63</v>
      </c>
      <c r="B29" s="11" t="s">
        <v>13</v>
      </c>
      <c r="C29" s="12" t="s">
        <v>64</v>
      </c>
      <c r="D29" s="13">
        <v>4.96</v>
      </c>
      <c r="E29" s="13">
        <v>5.04</v>
      </c>
      <c r="F29" s="13">
        <v>3088.34</v>
      </c>
      <c r="G29" s="13">
        <v>1155.05</v>
      </c>
      <c r="H29" s="13">
        <v>4243.3900000000003</v>
      </c>
      <c r="I29" s="11"/>
      <c r="J29" s="11"/>
    </row>
    <row r="30" spans="1:10" ht="12.6" customHeight="1" x14ac:dyDescent="0.25">
      <c r="A30" s="11" t="s">
        <v>65</v>
      </c>
      <c r="B30" s="11" t="s">
        <v>16</v>
      </c>
      <c r="C30" s="12" t="s">
        <v>66</v>
      </c>
      <c r="D30" s="13">
        <v>12.44</v>
      </c>
      <c r="E30" s="13">
        <v>12.43</v>
      </c>
      <c r="F30" s="13">
        <v>7685.75</v>
      </c>
      <c r="G30" s="13">
        <v>3085.45</v>
      </c>
      <c r="H30" s="13">
        <v>10771.2</v>
      </c>
      <c r="I30" s="11"/>
      <c r="J30" s="11"/>
    </row>
    <row r="31" spans="1:10" ht="12.6" customHeight="1" x14ac:dyDescent="0.25">
      <c r="A31" s="11" t="s">
        <v>67</v>
      </c>
      <c r="B31" s="11" t="s">
        <v>13</v>
      </c>
      <c r="C31" s="12" t="s">
        <v>68</v>
      </c>
      <c r="D31" s="13">
        <v>11.35</v>
      </c>
      <c r="E31" s="13">
        <v>10.65</v>
      </c>
      <c r="F31" s="13">
        <v>6796.93</v>
      </c>
      <c r="G31" s="13">
        <v>2452.5099999999998</v>
      </c>
      <c r="H31" s="13">
        <v>9249.44</v>
      </c>
      <c r="I31" s="11"/>
      <c r="J31" s="11"/>
    </row>
    <row r="32" spans="1:10" x14ac:dyDescent="0.25">
      <c r="A32" s="11" t="s">
        <v>69</v>
      </c>
      <c r="B32" s="11" t="s">
        <v>70</v>
      </c>
      <c r="C32" s="12" t="s">
        <v>71</v>
      </c>
      <c r="D32" s="13">
        <v>13.63</v>
      </c>
      <c r="E32" s="13">
        <v>13.61</v>
      </c>
      <c r="F32" s="13">
        <v>8417.84</v>
      </c>
      <c r="G32" s="13">
        <v>1921.36</v>
      </c>
      <c r="H32" s="13">
        <v>10339.200000000001</v>
      </c>
      <c r="I32" s="11"/>
      <c r="J32" s="11"/>
    </row>
    <row r="33" spans="1:10" x14ac:dyDescent="0.25">
      <c r="A33" s="11" t="s">
        <v>72</v>
      </c>
      <c r="B33" s="11" t="s">
        <v>16</v>
      </c>
      <c r="C33" s="12" t="s">
        <v>73</v>
      </c>
      <c r="D33" s="13">
        <v>12.64</v>
      </c>
      <c r="E33" s="13">
        <v>12.65</v>
      </c>
      <c r="F33" s="13">
        <v>7815.3600000000006</v>
      </c>
      <c r="G33" s="13">
        <v>1155.8900000000001</v>
      </c>
      <c r="H33" s="13">
        <v>8971.25</v>
      </c>
      <c r="I33" s="11"/>
      <c r="J33" s="11"/>
    </row>
    <row r="34" spans="1:10" x14ac:dyDescent="0.25">
      <c r="A34" s="11" t="s">
        <v>74</v>
      </c>
      <c r="B34" s="11" t="s">
        <v>13</v>
      </c>
      <c r="C34" s="12" t="s">
        <v>75</v>
      </c>
      <c r="D34" s="13">
        <v>7.41</v>
      </c>
      <c r="E34" s="13">
        <v>5.44</v>
      </c>
      <c r="F34" s="13">
        <v>3969.95</v>
      </c>
      <c r="G34" s="13">
        <v>2664.06</v>
      </c>
      <c r="H34" s="13">
        <v>6634.01</v>
      </c>
      <c r="I34" s="11"/>
      <c r="J34" s="11"/>
    </row>
    <row r="35" spans="1:10" x14ac:dyDescent="0.25">
      <c r="A35" s="11" t="s">
        <v>76</v>
      </c>
      <c r="B35" s="11" t="s">
        <v>16</v>
      </c>
      <c r="C35" s="12" t="s">
        <v>77</v>
      </c>
      <c r="D35" s="13">
        <v>16.79</v>
      </c>
      <c r="E35" s="13">
        <v>16.77</v>
      </c>
      <c r="F35" s="13">
        <v>10370.24</v>
      </c>
      <c r="G35" s="13">
        <v>2823.48</v>
      </c>
      <c r="H35" s="13">
        <v>13193.72</v>
      </c>
      <c r="I35" s="11"/>
      <c r="J35" s="11"/>
    </row>
    <row r="36" spans="1:10" x14ac:dyDescent="0.25">
      <c r="A36" s="11" t="s">
        <v>78</v>
      </c>
      <c r="B36" s="11" t="s">
        <v>13</v>
      </c>
      <c r="C36" s="12" t="s">
        <v>79</v>
      </c>
      <c r="D36" s="13">
        <v>9.6</v>
      </c>
      <c r="E36" s="13">
        <v>9.52</v>
      </c>
      <c r="F36" s="13">
        <v>5906.5599999999995</v>
      </c>
      <c r="G36" s="13">
        <v>3378.21</v>
      </c>
      <c r="H36" s="13">
        <v>9284.77</v>
      </c>
      <c r="I36" s="11"/>
      <c r="J36" s="11"/>
    </row>
    <row r="37" spans="1:10" x14ac:dyDescent="0.25">
      <c r="A37" s="11" t="s">
        <v>80</v>
      </c>
      <c r="B37" s="11" t="s">
        <v>70</v>
      </c>
      <c r="C37" s="12" t="s">
        <v>81</v>
      </c>
      <c r="D37" s="13">
        <v>17.05</v>
      </c>
      <c r="E37" s="13">
        <v>17.03</v>
      </c>
      <c r="F37" s="13">
        <v>10529.55</v>
      </c>
      <c r="G37" s="13">
        <v>1590.04</v>
      </c>
      <c r="H37" s="13">
        <v>12119.59</v>
      </c>
      <c r="I37" s="11"/>
      <c r="J37" s="11"/>
    </row>
    <row r="38" spans="1:10" x14ac:dyDescent="0.25">
      <c r="A38" s="14">
        <v>46204</v>
      </c>
      <c r="B38" s="11" t="s">
        <v>13</v>
      </c>
      <c r="C38" s="12" t="s">
        <v>82</v>
      </c>
      <c r="D38" s="13">
        <v>10.41</v>
      </c>
      <c r="E38" s="13">
        <v>10.41</v>
      </c>
      <c r="F38" s="13">
        <v>6430.58</v>
      </c>
      <c r="G38" s="13">
        <v>4.97</v>
      </c>
      <c r="H38" s="13">
        <v>6435.55</v>
      </c>
      <c r="I38" s="11"/>
      <c r="J38" s="11"/>
    </row>
    <row r="39" spans="1:10" x14ac:dyDescent="0.25">
      <c r="A39" s="15">
        <v>46205</v>
      </c>
      <c r="B39" s="10" t="s">
        <v>13</v>
      </c>
      <c r="C39" s="10" t="s">
        <v>83</v>
      </c>
      <c r="D39" s="16">
        <v>0</v>
      </c>
      <c r="E39" s="16">
        <v>0</v>
      </c>
      <c r="F39" s="16">
        <v>0</v>
      </c>
      <c r="G39" s="16">
        <v>1345.56</v>
      </c>
      <c r="H39" s="16">
        <v>1345.56</v>
      </c>
      <c r="I39" s="10"/>
      <c r="J39" s="10"/>
    </row>
    <row r="40" spans="1:10" x14ac:dyDescent="0.25">
      <c r="A40" s="17">
        <v>46206</v>
      </c>
      <c r="B40" s="18" t="s">
        <v>13</v>
      </c>
      <c r="C40" s="19" t="s">
        <v>84</v>
      </c>
      <c r="D40" s="20">
        <v>1.24</v>
      </c>
      <c r="E40" s="20">
        <v>1.27</v>
      </c>
      <c r="F40" s="20">
        <v>774.56999999999994</v>
      </c>
      <c r="G40" s="20">
        <v>3695.78</v>
      </c>
      <c r="H40" s="20">
        <v>4470.3500000000004</v>
      </c>
      <c r="I40" s="18"/>
      <c r="J40" s="18"/>
    </row>
    <row r="41" spans="1:10" x14ac:dyDescent="0.25">
      <c r="A41" s="14">
        <v>46207</v>
      </c>
      <c r="B41" s="11" t="s">
        <v>70</v>
      </c>
      <c r="C41" s="12" t="s">
        <v>85</v>
      </c>
      <c r="D41" s="13">
        <v>18.28</v>
      </c>
      <c r="E41" s="13">
        <v>18.27</v>
      </c>
      <c r="F41" s="13">
        <v>11294</v>
      </c>
      <c r="G41" s="13">
        <v>1127.8799999999999</v>
      </c>
      <c r="H41" s="13">
        <v>12421.88</v>
      </c>
      <c r="I41" s="11"/>
      <c r="J41" s="11"/>
    </row>
    <row r="42" spans="1:10" x14ac:dyDescent="0.25">
      <c r="A42" s="14">
        <v>46208</v>
      </c>
      <c r="B42" s="11" t="s">
        <v>13</v>
      </c>
      <c r="C42" s="12" t="s">
        <v>86</v>
      </c>
      <c r="D42" s="13">
        <v>16.89</v>
      </c>
      <c r="E42" s="13">
        <v>16.829999999999998</v>
      </c>
      <c r="F42" s="13">
        <v>10420.879999999999</v>
      </c>
      <c r="G42" s="13">
        <v>1764.67</v>
      </c>
      <c r="H42" s="13">
        <v>12185.55</v>
      </c>
      <c r="I42" s="11"/>
      <c r="J42" s="11"/>
    </row>
    <row r="43" spans="1:10" x14ac:dyDescent="0.25">
      <c r="A43" s="14">
        <v>46209</v>
      </c>
      <c r="B43" s="11" t="s">
        <v>16</v>
      </c>
      <c r="C43" s="12" t="s">
        <v>87</v>
      </c>
      <c r="D43" s="13">
        <v>17</v>
      </c>
      <c r="E43" s="13">
        <v>17</v>
      </c>
      <c r="F43" s="13">
        <v>10504.57</v>
      </c>
      <c r="G43" s="13">
        <v>1138.1500000000001</v>
      </c>
      <c r="H43" s="13">
        <v>11642.72</v>
      </c>
      <c r="I43" s="11"/>
      <c r="J43" s="11"/>
    </row>
    <row r="44" spans="1:10" x14ac:dyDescent="0.25">
      <c r="A44" s="14">
        <v>46210</v>
      </c>
      <c r="B44" s="11" t="s">
        <v>13</v>
      </c>
      <c r="C44" s="12" t="s">
        <v>88</v>
      </c>
      <c r="D44" s="13">
        <v>4.66</v>
      </c>
      <c r="E44" s="13">
        <v>4.66</v>
      </c>
      <c r="F44" s="13">
        <v>2879.59</v>
      </c>
      <c r="G44" s="13">
        <v>1149.3699999999999</v>
      </c>
      <c r="H44" s="13">
        <v>4028.96</v>
      </c>
      <c r="I44" s="11"/>
      <c r="J44" s="11"/>
    </row>
    <row r="45" spans="1:10" x14ac:dyDescent="0.25">
      <c r="A45" s="14">
        <v>46211</v>
      </c>
      <c r="B45" s="11" t="s">
        <v>13</v>
      </c>
      <c r="C45" s="12" t="s">
        <v>84</v>
      </c>
      <c r="D45" s="13">
        <v>0.68</v>
      </c>
      <c r="E45" s="13">
        <v>0.65</v>
      </c>
      <c r="F45" s="13">
        <v>412</v>
      </c>
      <c r="G45" s="13">
        <v>910.21</v>
      </c>
      <c r="H45" s="13">
        <v>1322.21</v>
      </c>
      <c r="I45" s="11"/>
      <c r="J45" s="11"/>
    </row>
    <row r="46" spans="1:10" x14ac:dyDescent="0.25">
      <c r="A46" s="15">
        <v>46212</v>
      </c>
      <c r="B46" s="10" t="s">
        <v>13</v>
      </c>
      <c r="C46" s="10" t="s">
        <v>83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0"/>
      <c r="J46" s="10"/>
    </row>
    <row r="47" spans="1:10" x14ac:dyDescent="0.25">
      <c r="A47" s="15">
        <v>46213</v>
      </c>
      <c r="B47" s="10" t="s">
        <v>13</v>
      </c>
      <c r="C47" s="10" t="s">
        <v>83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0"/>
      <c r="J47" s="10"/>
    </row>
    <row r="48" spans="1:10" x14ac:dyDescent="0.25">
      <c r="A48" s="15">
        <v>46214</v>
      </c>
      <c r="B48" s="10" t="s">
        <v>13</v>
      </c>
      <c r="C48" s="10" t="s">
        <v>83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0"/>
      <c r="J48" s="10"/>
    </row>
    <row r="49" spans="1:10" x14ac:dyDescent="0.25">
      <c r="A49" s="15">
        <v>46215</v>
      </c>
      <c r="B49" s="10" t="s">
        <v>13</v>
      </c>
      <c r="C49" s="10" t="s">
        <v>83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0"/>
      <c r="J49" s="10"/>
    </row>
    <row r="50" spans="1:10" x14ac:dyDescent="0.25">
      <c r="A50" s="15">
        <v>46216</v>
      </c>
      <c r="B50" s="10" t="s">
        <v>13</v>
      </c>
      <c r="C50" s="10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0"/>
      <c r="J50" s="10"/>
    </row>
    <row r="51" spans="1:10" x14ac:dyDescent="0.25">
      <c r="A51" s="14">
        <v>46217</v>
      </c>
      <c r="B51" s="11" t="s">
        <v>13</v>
      </c>
      <c r="C51" s="12" t="s">
        <v>89</v>
      </c>
      <c r="D51" s="13">
        <v>7.38</v>
      </c>
      <c r="E51" s="11">
        <v>7.37</v>
      </c>
      <c r="F51" s="11">
        <v>4558.53</v>
      </c>
      <c r="G51" s="11">
        <v>869.04</v>
      </c>
      <c r="H51" s="21">
        <f>SUM(F51:G51)</f>
        <v>5427.57</v>
      </c>
      <c r="I51" s="11"/>
      <c r="J51" s="11"/>
    </row>
    <row r="52" spans="1:10" x14ac:dyDescent="0.25">
      <c r="A52" s="14">
        <v>46218</v>
      </c>
      <c r="B52" s="11" t="s">
        <v>16</v>
      </c>
      <c r="C52" s="12" t="s">
        <v>90</v>
      </c>
      <c r="D52" s="13">
        <v>13.98</v>
      </c>
      <c r="E52" s="11">
        <v>13.47</v>
      </c>
      <c r="F52" s="11">
        <v>8234.49</v>
      </c>
      <c r="G52" s="11">
        <v>3330.81</v>
      </c>
      <c r="H52" s="21">
        <f t="shared" ref="H52:H53" si="0">SUM(F52:G52)</f>
        <v>11565.3</v>
      </c>
      <c r="I52" s="11"/>
      <c r="J52" s="11"/>
    </row>
    <row r="53" spans="1:10" x14ac:dyDescent="0.25">
      <c r="A53" s="14">
        <v>46219</v>
      </c>
      <c r="B53" s="11" t="s">
        <v>13</v>
      </c>
      <c r="C53" s="12" t="s">
        <v>91</v>
      </c>
      <c r="D53" s="13"/>
      <c r="E53" s="11"/>
      <c r="F53" s="11"/>
      <c r="G53" s="11"/>
      <c r="H53" s="21">
        <f t="shared" si="0"/>
        <v>0</v>
      </c>
      <c r="I53" s="11"/>
      <c r="J53" s="11"/>
    </row>
    <row r="54" spans="1:10" x14ac:dyDescent="0.25">
      <c r="A54" s="14"/>
      <c r="B54" s="11"/>
      <c r="C54" s="12"/>
      <c r="D54" s="13"/>
      <c r="E54" s="11"/>
      <c r="F54" s="11"/>
      <c r="G54" s="11"/>
      <c r="H54" s="21"/>
      <c r="I54" s="11"/>
      <c r="J54" s="11"/>
    </row>
    <row r="55" spans="1:10" x14ac:dyDescent="0.25">
      <c r="A55" s="10" t="s">
        <v>92</v>
      </c>
      <c r="B55" s="10"/>
      <c r="C55" s="10"/>
      <c r="D55" s="16">
        <f>SUM(D5:D7)</f>
        <v>36.120000000000005</v>
      </c>
      <c r="E55" s="10">
        <f>SUM(E5:E7)</f>
        <v>36.46</v>
      </c>
      <c r="F55" s="10">
        <f>SUM(F5:F7)</f>
        <v>22426.620000000003</v>
      </c>
      <c r="G55" s="10">
        <f>SUM(G5:G7)</f>
        <v>6796.2999999999993</v>
      </c>
      <c r="H55" s="10">
        <f>SUM(H5:H7)</f>
        <v>29222.920000000002</v>
      </c>
      <c r="I55" s="10"/>
      <c r="J55" s="10"/>
    </row>
    <row r="56" spans="1:10" x14ac:dyDescent="0.25">
      <c r="A56" s="10" t="s">
        <v>93</v>
      </c>
      <c r="B56" s="10"/>
      <c r="C56" s="10"/>
      <c r="D56" s="10">
        <f>SUM(D8:D37)</f>
        <v>368.69000000000005</v>
      </c>
      <c r="E56" s="10">
        <f>SUM(E8:E37)</f>
        <v>370.4799999999999</v>
      </c>
      <c r="F56" s="10">
        <f>SUM(F8:F37)</f>
        <v>228401.75</v>
      </c>
      <c r="G56" s="10">
        <f>SUM(G8:G37)</f>
        <v>66134.16</v>
      </c>
      <c r="H56" s="10">
        <f>SUM(H8:H37)</f>
        <v>294535.91000000009</v>
      </c>
      <c r="I56" s="10"/>
      <c r="J56" s="10"/>
    </row>
    <row r="57" spans="1:10" x14ac:dyDescent="0.25">
      <c r="A57" s="10" t="s">
        <v>94</v>
      </c>
      <c r="B57" s="10"/>
      <c r="C57" s="10"/>
      <c r="D57" s="22">
        <f>SUM(D38:D53)</f>
        <v>90.52000000000001</v>
      </c>
      <c r="E57" s="22">
        <f>SUM(E38:E53)</f>
        <v>89.93</v>
      </c>
      <c r="F57" s="22">
        <f>SUM(F38:F53)</f>
        <v>55509.21</v>
      </c>
      <c r="G57" s="22">
        <f>SUM(G38:G53)</f>
        <v>15336.44</v>
      </c>
      <c r="H57" s="22">
        <f>SUM(H38:H53)</f>
        <v>70845.649999999994</v>
      </c>
      <c r="I57" s="10"/>
      <c r="J57" s="10"/>
    </row>
    <row r="58" spans="1:10" x14ac:dyDescent="0.25">
      <c r="A58" s="10" t="s">
        <v>95</v>
      </c>
      <c r="B58" s="10"/>
      <c r="C58" s="10"/>
      <c r="D58" s="22">
        <f>SUM(D55:D57)</f>
        <v>495.33000000000004</v>
      </c>
      <c r="E58" s="10">
        <f>SUM(E55:E57)</f>
        <v>496.86999999999989</v>
      </c>
      <c r="F58" s="10">
        <f>SUM(F55:F57)</f>
        <v>306337.58</v>
      </c>
      <c r="G58" s="10">
        <f>SUM(G55:G57)</f>
        <v>88266.900000000009</v>
      </c>
      <c r="H58" s="10">
        <f>SUM(H55:H57)</f>
        <v>394604.4800000001</v>
      </c>
      <c r="I58" s="10"/>
      <c r="J58" s="10"/>
    </row>
  </sheetData>
  <mergeCells count="2">
    <mergeCell ref="A1:J1"/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Voyage Summary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MY_PC</cp:lastModifiedBy>
  <dcterms:modified xsi:type="dcterms:W3CDTF">2026-07-17T05:55:08Z</dcterms:modified>
</cp:coreProperties>
</file>